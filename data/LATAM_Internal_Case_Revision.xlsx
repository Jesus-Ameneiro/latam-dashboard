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tc={cba3269f-95b6-4772-b172-dd26211eef2f}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cba3269f-95b6-4772-b172-dd26211eef2f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<sst xmlns="http://schemas.openxmlformats.org/spreadsheetml/2006/main" count="8517" uniqueCount="3790">
  <si>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</si>
  <si>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</si>
  <si>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</si>
  <si>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</si>
  <si>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</si>
  <si>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</si>
  <si>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</si>
  <si>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</si>
  <si>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</si>
  <si>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</si>
  <si>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</si>
  <si>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</si>
  <si>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</si>
  <si>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</si>
  <si>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</si>
  <si>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</si>
  <si>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</si>
  <si>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</si>
  <si>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</si>
  <si>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</si>
  <si>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</si>
  <si>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</si>
  <si>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</si>
  <si>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</si>
  <si>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</si>
  <si>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</si>
  <si>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</si>
  <si>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</si>
  <si>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</si>
  <si>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</si>
  <si>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</si>
  <si>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</si>
  <si>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</si>
  <si>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</si>
  <si>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</si>
  <si>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</si>
  <si>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</si>
  <si>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</si>
  <si>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</si>
  <si>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</si>
  <si>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</si>
  <si>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</si>
  <si>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</si>
  <si>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</si>
  <si>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</si>
  <si>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</si>
  <si>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</si>
  <si>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</si>
  <si>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</si>
  <si>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</si>
  <si>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</si>
  <si>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</si>
  <si>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</si>
  <si>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</si>
  <si>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</si>
  <si>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</si>
  <si>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</si>
  <si>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</si>
  <si>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</si>
  <si>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</si>
  <si>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</si>
  <si>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</si>
  <si>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</si>
  <si>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</si>
  <si>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</si>
  <si>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</si>
  <si>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</si>
  <si>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</si>
  <si>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</si>
  <si>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</si>
  <si>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</si>
  <si>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</si>
  <si>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</si>
  <si>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</si>
  <si>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</si>
  <si>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</si>
  <si>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</si>
  <si>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</si>
  <si>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</si>
  <si>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</si>
  <si>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</si>
  <si>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</si>
  <si>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</si>
  <si>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</si>
  <si>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</si>
  <si>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</si>
  <si>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</si>
  <si>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</si>
  <si>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</si>
  <si>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</si>
  <si>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</si>
  <si>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</si>
  <si>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</si>
  <si>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</si>
  <si>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</si>
  <si>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</si>
  <si>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</si>
  <si>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</si>
  <si>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</si>
  <si>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</si>
  <si>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</si>
  <si>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</si>
  <si>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</si>
  <si>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</si>
  <si>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</si>
  <si>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</si>
  <si>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</si>
  <si>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</si>
  <si>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</si>
  <si>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</si>
  <si>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</si>
  <si>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</si>
  <si>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</si>
  <si>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</si>
  <si>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</si>
  <si>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</si>
  <si>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</si>
  <si>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</si>
  <si>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</si>
  <si>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</si>
  <si>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</si>
  <si>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</si>
  <si>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</si>
  <si>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</si>
  <si>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</si>
  <si>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</si>
  <si>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</si>
  <si>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</si>
  <si>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</si>
  <si>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</si>
  <si>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</si>
  <si>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</si>
  <si>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</si>
  <si>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</si>
  <si>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</si>
  <si>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</si>
  <si>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</si>
  <si>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</si>
  <si>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</si>
  <si>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</si>
  <si>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</si>
  <si>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</si>
  <si>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</si>
  <si>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</si>
  <si>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</si>
  <si>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</si>
  <si>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</si>
  <si>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</si>
  <si>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</si>
  <si>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</si>
  <si>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</si>
  <si>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</si>
  <si>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</si>
  <si>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</si>
  <si>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</si>
  <si>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</si>
  <si>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</si>
  <si>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</si>
  <si>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</si>
  <si>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</si>
  <si>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</si>
  <si>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</si>
  <si>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</si>
  <si>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</si>
  <si>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</si>
  <si>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</si>
  <si>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</si>
  <si>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</si>
  <si>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</si>
  <si>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</si>
  <si>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</si>
  <si>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</si>
  <si>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</si>
  <si>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</si>
  <si>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</si>
  <si>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</si>
  <si>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</si>
  <si>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</si>
  <si>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</si>
  <si>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</si>
  <si>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</si>
  <si>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</si>
  <si>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</si>
  <si>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</si>
  <si>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</si>
  <si>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</si>
  <si>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</si>
  <si>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</si>
  <si>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</si>
  <si>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</si>
  <si>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</si>
  <si>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</si>
  <si>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</si>
  <si>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</si>
  <si>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</si>
  <si>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</si>
  <si>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</si>
  <si>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</si>
  <si>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</si>
  <si>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</si>
  <si>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</si>
  <si>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</si>
  <si>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</si>
  <si>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</si>
  <si>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</si>
  <si>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</si>
  <si>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</si>
  <si>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</si>
  <si>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</si>
  <si>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</si>
  <si>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</si>
  <si>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</si>
  <si>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</si>
  <si>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</si>
  <si>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</si>
  <si>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</si>
  <si>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</si>
  <si>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</si>
  <si>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</si>
  <si>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</si>
  <si>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</si>
  <si>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</si>
  <si>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</si>
  <si>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</si>
  <si>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</si>
  <si>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</si>
  <si>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</si>
  <si>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</si>
  <si>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</si>
  <si>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</si>
  <si>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</si>
  <si>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</si>
  <si>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</si>
  <si>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</si>
  <si>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</si>
  <si>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</si>
  <si>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</si>
  <si>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</si>
  <si>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</si>
  <si>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</si>
  <si>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</si>
  <si>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</si>
  <si>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</si>
  <si>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</si>
  <si>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</si>
  <si>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</si>
  <si>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</si>
  <si>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</si>
  <si>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</si>
  <si>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</si>
  <si>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</si>
  <si>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</si>
  <si>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</si>
  <si>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</si>
  <si>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</si>
  <si>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</si>
  <si>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</si>
  <si>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</si>
  <si>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</si>
  <si>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</si>
  <si>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</si>
  <si>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</si>
  <si>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</si>
  <si>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</si>
  <si>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</si>
  <si>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</si>
  <si>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</si>
  <si>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</si>
  <si>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</si>
  <si>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</si>
  <si>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</si>
  <si>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</si>
  <si>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</si>
  <si>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</si>
  <si>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</si>
  <si>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</si>
  <si>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</si>
  <si>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</si>
  <si>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</si>
  <si>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</si>
  <si>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</si>
  <si>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</si>
  <si>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</si>
  <si>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</si>
  <si>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</si>
  <si>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</si>
  <si>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</si>
  <si>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</si>
  <si>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</si>
  <si>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</si>
  <si>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</si>
  <si>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</si>
  <si>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</si>
  <si>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</si>
  <si>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</si>
  <si>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</si>
  <si>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</si>
  <si>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</si>
  <si>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</si>
  <si>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</si>
  <si>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</si>
  <si>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</si>
  <si>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</si>
  <si>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</si>
  <si>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</si>
  <si>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</si>
  <si>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</si>
  <si>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</si>
  <si>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</si>
  <si>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</si>
  <si>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</si>
  <si>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</si>
  <si>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</si>
  <si>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</si>
  <si>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</si>
  <si>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</si>
  <si>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</si>
  <si>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</si>
  <si>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</si>
  <si>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</si>
  <si>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</si>
  <si>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</si>
  <si>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</si>
  <si>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</si>
  <si>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</si>
  <si>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</si>
  <si>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</si>
  <si>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</si>
  <si>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</si>
  <si>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</si>
  <si>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</si>
  <si>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</si>
  <si>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</si>
  <si>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</si>
  <si>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</si>
  <si>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</si>
  <si>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</si>
  <si>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</si>
  <si>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</si>
  <si>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</si>
  <si>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</si>
  <si>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</si>
  <si>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</si>
  <si>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</si>
  <si>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</si>
  <si>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</si>
  <si>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</si>
  <si>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</si>
  <si>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</si>
  <si>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</si>
  <si>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</si>
  <si>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</si>
  <si>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</si>
  <si>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</si>
  <si>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</si>
  <si>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</si>
  <si>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</si>
  <si>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</si>
  <si>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</si>
  <si>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</si>
  <si>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</si>
  <si>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</si>
  <si>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</si>
  <si>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</si>
  <si>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</si>
  <si>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</si>
  <si>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</si>
  <si>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</si>
  <si>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</si>
  <si>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</si>
  <si>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</si>
  <si>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</si>
  <si>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</si>
  <si>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</si>
  <si>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</si>
  <si>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</si>
  <si>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</si>
  <si>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</si>
  <si>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</si>
  <si>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</si>
  <si>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</si>
  <si>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</si>
  <si>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</si>
  <si>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</si>
  <si>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</si>
  <si>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</si>
  <si>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</si>
  <si>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</si>
  <si>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</si>
  <si>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</si>
  <si>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</si>
  <si>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</si>
  <si>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</si>
  <si>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</si>
  <si>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</si>
  <si>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</si>
  <si>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</si>
  <si>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</si>
  <si>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</si>
  <si>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</si>
  <si>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</si>
  <si>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</si>
  <si>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</si>
  <si>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</si>
  <si>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</si>
  <si>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</si>
  <si>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</si>
  <si>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</si>
  <si>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</si>
  <si>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</si>
  <si>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</si>
  <si>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</si>
  <si>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</si>
  <si>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</si>
  <si>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</si>
  <si>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</si>
  <si>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</si>
  <si>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</si>
  <si>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</si>
  <si>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</si>
  <si>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</si>
  <si>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</si>
  <si>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</si>
  <si>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</si>
  <si>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</si>
  <si>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</si>
  <si>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</si>
  <si>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</si>
  <si>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</si>
  <si>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</si>
  <si>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</si>
  <si>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</si>
  <si>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</si>
  <si>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</si>
  <si>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</si>
  <si>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</si>
  <si>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</si>
  <si>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</si>
  <si>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</si>
  <si>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</si>
  <si>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</si>
  <si>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</si>
  <si>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</si>
  <si>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</si>
  <si>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</si>
  <si>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</si>
  <si>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</si>
  <si>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</si>
  <si>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</si>
  <si>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</si>
  <si>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</si>
  <si>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</si>
  <si>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</si>
  <si>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</si>
  <si>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</si>
  <si>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</si>
  <si>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</si>
  <si>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</si>
  <si>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</si>
  <si>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</si>
  <si>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</si>
  <si>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</si>
  <si>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</si>
  <si>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</si>
  <si>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</si>
  <si>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</si>
  <si>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</si>
  <si>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</si>
  <si>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</si>
  <si>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</si>
  <si>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</si>
  <si>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</si>
  <si>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</si>
  <si>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</si>
  <si>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</si>
  <si>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</si>
  <si>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</si>
  <si>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</si>
  <si>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</si>
  <si>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</si>
  <si>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</si>
  <si>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</si>
  <si>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</si>
  <si>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</si>
  <si>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</si>
  <si>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</si>
  <si>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</si>
  <si>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</si>
  <si>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</si>
  <si>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</si>
  <si>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</si>
  <si>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</si>
  <si>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</si>
  <si>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</si>
  <si>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</si>
  <si>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</si>
  <si>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</si>
  <si>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</si>
  <si>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</si>
  <si>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</si>
  <si>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</si>
  <si>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</si>
  <si>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</si>
  <si>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</si>
  <si>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</si>
  <si>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</si>
  <si>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</si>
  <si>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</si>
  <si>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</si>
  <si>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</si>
  <si>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</si>
  <si>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</si>
  <si>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</si>
  <si>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</si>
  <si>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</si>
  <si>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</si>
  <si>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</si>
  <si>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</si>
  <si>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</si>
  <si>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</si>
  <si>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</si>
  <si>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</si>
  <si>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</si>
  <si>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</si>
  <si>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</si>
  <si>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</si>
  <si>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</si>
  <si>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</si>
  <si>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</si>
  <si>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</si>
  <si>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</si>
  <si>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</si>
  <si>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</si>
  <si>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</si>
  <si>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</si>
  <si>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</si>
  <si>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</si>
  <si>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</si>
  <si>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</si>
  <si>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</si>
  <si>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</si>
  <si>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</si>
  <si>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</si>
  <si>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</si>
  <si>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</si>
  <si>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</si>
  <si>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</si>
  <si>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</si>
  <si>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</si>
  <si>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</si>
  <si>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</si>
  <si>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</si>
  <si>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</si>
  <si>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</si>
  <si>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</si>
  <si>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</si>
  <si>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</si>
  <si>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</si>
  <si>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</si>
  <si>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</si>
  <si>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</si>
  <si>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</si>
  <si>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</si>
  <si>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</si>
  <si>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</si>
  <si>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</si>
  <si>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</si>
  <si>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</si>
  <si>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</si>
  <si>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</si>
  <si>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</si>
  <si>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</si>
  <si>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</si>
  <si>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</si>
  <si>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</si>
  <si>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</si>
  <si>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</si>
  <si>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</si>
  <si>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</si>
  <si>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</si>
  <si>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</si>
  <si>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</si>
  <si>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</si>
  <si>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</si>
  <si>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</si>
  <si>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</si>
  <si>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</si>
  <si>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</si>
  <si>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</si>
  <si>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</si>
  <si>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</si>
  <si>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</si>
  <si>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</si>
  <si>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</si>
  <si>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</si>
  <si>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</si>
  <si>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</si>
  <si>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</si>
  <si>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</si>
  <si>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</si>
  <si>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</si>
  <si>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</si>
  <si>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</si>
  <si>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</si>
  <si>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</si>
  <si>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</si>
  <si>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</si>
  <si>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</si>
  <si>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</si>
  <si>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</si>
  <si>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</si>
  <si>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</si>
  <si>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</si>
  <si>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</si>
  <si>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</si>
  <si>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</si>
  <si>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</si>
  <si>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</si>
  <si>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</si>
  <si>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</si>
  <si>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</si>
  <si>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</si>
  <si>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</si>
  <si>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</si>
  <si>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</si>
  <si>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</si>
  <si>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</si>
  <si>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</si>
  <si>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</si>
  <si>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</si>
  <si>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</si>
  <si>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</si>
  <si>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</si>
  <si>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</si>
  <si>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</si>
  <si>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</si>
  <si>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</si>
  <si>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</si>
  <si>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</si>
  <si>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</si>
  <si>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</si>
  <si>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</si>
  <si>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</si>
  <si>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</si>
  <si>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</si>
  <si>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</si>
  <si>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</si>
  <si>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</si>
  <si>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</si>
  <si>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</si>
  <si>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</si>
  <si>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</si>
  <si>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</si>
  <si>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</si>
  <si>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</si>
  <si>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</si>
  <si>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</si>
  <si>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</si>
  <si>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</si>
  <si>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</si>
  <si>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</si>
  <si>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</si>
  <si>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</si>
  <si>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</si>
  <si>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</si>
  <si>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</si>
  <si>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</si>
  <si>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</si>
  <si>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</si>
  <si>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</si>
  <si>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</si>
  <si>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</si>
  <si>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</si>
  <si>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</si>
  <si>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</si>
  <si>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</si>
  <si>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</si>
  <si>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</si>
  <si>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</si>
  <si>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</si>
  <si>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</si>
  <si>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</si>
  <si>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</si>
  <si>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</si>
  <si>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</si>
  <si>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</si>
  <si>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</si>
  <si>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</si>
  <si>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</si>
  <si>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</si>
  <si>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</si>
  <si>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</si>
  <si>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</si>
  <si>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</si>
  <si>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</si>
  <si>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</si>
  <si>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</si>
  <si>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</si>
  <si>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</si>
  <si>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</si>
  <si>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</si>
  <si>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</si>
  <si>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</si>
  <si>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</si>
  <si>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</si>
  <si>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</si>
  <si>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</si>
  <si>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</si>
  <si>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</si>
  <si>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</si>
  <si>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</si>
  <si>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</si>
  <si>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</si>
  <si>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</si>
  <si>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</si>
  <si>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</si>
  <si>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</si>
  <si>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</si>
  <si>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</si>
  <si>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</si>
  <si>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</si>
  <si>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</si>
  <si>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</si>
  <si>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</si>
  <si>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</si>
  <si>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</si>
  <si>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</si>
  <si>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</si>
  <si>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</si>
  <si>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</si>
  <si>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</si>
  <si>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</si>
  <si>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</si>
  <si>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</si>
  <si>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</si>
  <si>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</si>
  <si>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</si>
  <si>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</si>
  <si>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</si>
  <si>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</si>
  <si>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</si>
  <si>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</si>
  <si>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</si>
  <si>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</si>
  <si>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</si>
  <si>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</si>
  <si>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</si>
  <si>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</si>
  <si>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</si>
  <si>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</si>
  <si>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</si>
  <si>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</si>
  <si>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</si>
  <si>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</si>
  <si>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</si>
  <si>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</si>
  <si>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</si>
  <si>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</si>
  <si>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</si>
  <si>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</si>
  <si>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</si>
  <si>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</si>
  <si>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</si>
  <si>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</si>
  <si>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</si>
  <si>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</si>
  <si>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</si>
  <si>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</si>
  <si>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</si>
  <si>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</si>
  <si>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</si>
  <si>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</si>
  <si>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</si>
  <si>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</si>
  <si>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</si>
  <si>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</si>
  <si>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</si>
  <si>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</si>
  <si>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</si>
  <si>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</si>
  <si>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</si>
  <si>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</si>
  <si>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</si>
  <si>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</si>
  <si>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</si>
  <si>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</si>
  <si>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</si>
  <si>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</si>
  <si>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</si>
  <si>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</si>
  <si>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</si>
  <si>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</si>
  <si>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</si>
  <si>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</si>
  <si>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</si>
  <si>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</si>
  <si>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</si>
  <si>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</si>
  <si>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</si>
  <si>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</si>
  <si>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</si>
  <si>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</si>
  <si>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</si>
  <si>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</si>
  <si>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</si>
  <si>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</si>
  <si>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</si>
  <si>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</si>
  <si>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</si>
  <si>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</si>
  <si>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</si>
  <si>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</si>
  <si>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</si>
  <si>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</si>
  <si>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</si>
  <si>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</si>
  <si>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</si>
  <si>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</si>
  <si>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</si>
  <si>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</si>
  <si>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</si>
  <si>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</si>
  <si>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</si>
  <si>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</si>
  <si>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</si>
  <si>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</si>
  <si>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</si>
  <si>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</si>
  <si>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</si>
  <si>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</si>
  <si>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</si>
  <si>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</si>
  <si>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</si>
  <si>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</si>
  <si>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</si>
  <si>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</si>
  <si>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</si>
  <si>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</si>
  <si>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</si>
  <si>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</si>
  <si>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</si>
  <si>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</si>
  <si>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</si>
  <si>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</si>
  <si>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</si>
  <si>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</si>
  <si>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</si>
  <si>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</si>
  <si>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</si>
  <si>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</si>
  <si>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</si>
  <si>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</si>
  <si>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</si>
  <si>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</si>
  <si>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</si>
  <si>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</si>
  <si>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</si>
  <si>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</si>
  <si>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</si>
  <si>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</si>
  <si>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</si>
  <si>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</si>
  <si>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</si>
  <si>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</si>
  <si>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</si>
  <si>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</si>
  <si>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</si>
  <si>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</si>
  <si>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</si>
  <si>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</si>
  <si>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</si>
  <si>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</si>
  <si>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</si>
  <si>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</si>
  <si>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</si>
  <si>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</si>
  <si>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</si>
  <si>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</si>
  <si>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</si>
  <si>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</si>
  <si>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</si>
  <si>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</si>
  <si>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</si>
  <si>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</si>
  <si>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</si>
  <si>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</si>
  <si>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</si>
  <si>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</si>
  <si>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</si>
  <si>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</si>
  <si>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</si>
  <si>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</si>
  <si>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</si>
  <si>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</si>
  <si>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</si>
  <si>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</si>
  <si>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</si>
  <si>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</si>
  <si>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</si>
  <si>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</si>
  <si>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</si>
  <si>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</si>
  <si>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</si>
  <si>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</si>
  <si>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</si>
  <si>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</si>
  <si>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</si>
  <si>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</si>
  <si>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</si>
  <si>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</si>
  <si>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</si>
  <si>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</si>
  <si>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</si>
  <si>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</si>
  <si>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</si>
  <si>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</si>
  <si>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</si>
  <si>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</si>
  <si>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</si>
  <si>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</si>
  <si>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</si>
  <si>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</si>
  <si>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</si>
  <si>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</si>
  <si>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</si>
  <si>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</si>
  <si>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</si>
  <si>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</si>
  <si>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</si>
  <si>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</si>
  <si>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</si>
  <si>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</si>
  <si>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</si>
  <si>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</si>
  <si>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</si>
  <si>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</si>
  <si>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</si>
  <si>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</si>
  <si>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</si>
  <si>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</si>
  <si>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</si>
  <si>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</si>
  <si>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</si>
  <si>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</si>
  <si>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</si>
  <si>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</si>
  <si>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</si>
  <si>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</si>
  <si>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</si>
  <si>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</si>
  <si>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</si>
  <si>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</si>
  <si>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</si>
  <si>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</si>
  <si>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</si>
  <si>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</si>
  <si>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</si>
  <si>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</si>
  <si>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</si>
  <si>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</si>
  <si>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</si>
  <si>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</si>
  <si>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</si>
  <si>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</si>
  <si>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</si>
  <si>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</si>
  <si>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</si>
  <si>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</si>
  <si>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</si>
  <si>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</si>
  <si>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</si>
  <si>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</si>
  <si>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</si>
  <si>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</si>
  <si>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</si>
  <si>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</si>
  <si>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</si>
  <si>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</si>
  <si>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</si>
  <si>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</si>
  <si>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</si>
  <si>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</si>
  <si>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</si>
  <si>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</si>
  <si>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</si>
  <si>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</si>
  <si>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</si>
  <si>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</si>
  <si>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</si>
  <si>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</si>
  <si>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</si>
  <si>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</si>
  <si>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</si>
  <si>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</si>
  <si>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</si>
  <si>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</si>
  <si>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</si>
  <si>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</si>
  <si>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</si>
  <si>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</si>
  <si>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</si>
  <si>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</si>
  <si>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</si>
  <si>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</si>
  <si>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</si>
  <si>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</si>
  <si>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</si>
  <si>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</si>
  <si>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</si>
  <si>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</si>
  <si>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</si>
  <si>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</si>
  <si>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</si>
  <si>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</si>
  <si>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</si>
  <si>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</si>
  <si>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</si>
  <si>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</si>
  <si>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</si>
  <si>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</si>
  <si>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</si>
  <si>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</si>
  <si>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</si>
  <si>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</si>
  <si>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</si>
  <si>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</si>
  <si>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</si>
  <si>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</si>
  <si>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</si>
  <si>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</si>
  <si>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</si>
  <si>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</si>
  <si>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</si>
  <si>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</si>
  <si>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</si>
  <si>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</si>
  <si>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</si>
  <si>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</si>
  <si>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</si>
  <si>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</si>
  <si>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</si>
  <si>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</si>
  <si>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</si>
  <si>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</si>
  <si>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</si>
  <si>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</si>
  <si>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</si>
  <si>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</si>
  <si>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</si>
  <si>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</si>
  <si>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</si>
  <si>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</si>
  <si>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</si>
  <si>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</si>
  <si>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</si>
  <si>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</si>
  <si>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</si>
  <si>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</si>
  <si>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</si>
  <si>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</si>
  <si>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</si>
  <si>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</si>
  <si>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</si>
  <si>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</si>
  <si>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</si>
  <si>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</si>
  <si>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</si>
  <si>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</si>
  <si>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</si>
  <si>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</si>
  <si>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</si>
  <si>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</si>
  <si>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</si>
  <si>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</si>
  <si>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</si>
  <si>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</si>
  <si>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</si>
  <si>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</si>
  <si>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</si>
  <si>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</si>
  <si>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</si>
  <si>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</si>
  <si>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</si>
  <si>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</si>
  <si>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</si>
  <si>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</si>
  <si>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</si>
  <si>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</si>
  <si>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</si>
  <si>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</si>
  <si>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</si>
  <si>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</si>
  <si>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</si>
  <si>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</si>
  <si>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</si>
  <si>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</si>
  <si>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</si>
  <si>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</si>
  <si>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</si>
  <si>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</si>
  <si>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</si>
  <si>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</si>
  <si>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</si>
  <si>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</si>
  <si>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</si>
  <si>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</si>
  <si>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</si>
  <si>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</si>
  <si>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</si>
  <si>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</si>
  <si>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</si>
  <si>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</si>
  <si>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</si>
  <si>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</si>
  <si>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</si>
  <si>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</si>
  <si>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</si>
  <si>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</si>
  <si>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</si>
  <si>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</si>
  <si>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</si>
  <si>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</si>
  <si>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</si>
  <si>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</si>
  <si>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</si>
  <si>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</si>
  <si>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</si>
  <si>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</si>
  <si>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</si>
  <si>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</si>
  <si>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</si>
  <si>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</si>
  <si>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</si>
  <si>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</si>
  <si>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</si>
  <si>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</si>
  <si>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</si>
  <si>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</si>
  <si>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</si>
  <si>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</si>
  <si>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</si>
  <si>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</si>
  <si>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</si>
  <si>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</si>
  <si>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</si>
  <si>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</si>
  <si>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</si>
  <si>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</si>
  <si>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</si>
  <si>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</si>
  <si>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</si>
  <si>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</si>
  <si>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</si>
  <si>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</si>
  <si>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</si>
  <si>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</si>
  <si>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</si>
  <si>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</si>
  <si>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</si>
  <si>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</si>
  <si>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</si>
  <si>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</si>
  <si>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</si>
  <si>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</si>
  <si>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</si>
  <si>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</si>
  <si>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</si>
  <si>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</si>
  <si>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</si>
  <si>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</si>
  <si>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</si>
  <si>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</si>
  <si>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</si>
  <si>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</si>
  <si>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</si>
  <si>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</si>
  <si>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</si>
  <si>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</si>
  <si>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</si>
  <si>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</si>
  <si>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</si>
  <si>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</si>
  <si>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</si>
  <si>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</si>
  <si>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</si>
  <si>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</si>
  <si>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</si>
  <si>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</si>
  <si>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</si>
  <si>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</si>
  <si>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</si>
  <si>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</si>
  <si>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</si>
  <si>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</si>
  <si>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</si>
  <si>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</si>
  <si>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</si>
  <si>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</si>
  <si>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</si>
  <si>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</si>
  <si>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</si>
  <si>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</si>
  <si>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</si>
  <si>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</si>
  <si>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</si>
  <si>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</si>
  <si>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</si>
  <si>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</si>
  <si>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</si>
  <si>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</si>
  <si>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</si>
  <si>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</si>
  <si>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</si>
  <si>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</si>
  <si>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</si>
  <si>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</si>
  <si>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</si>
  <si>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</si>
  <si>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</si>
  <si>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</si>
  <si>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</si>
  <si>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</si>
  <si>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</si>
  <si>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</si>
  <si>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</si>
  <si>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</si>
  <si>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</si>
  <si>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</si>
  <si>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</si>
  <si>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</si>
  <si>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</si>
  <si>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</si>
  <si>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</si>
  <si>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</si>
  <si>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</si>
  <si>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</si>
  <si>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</si>
  <si>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</si>
  <si>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</si>
  <si>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</si>
  <si>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</si>
  <si>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</si>
  <si>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</si>
  <si>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</si>
  <si>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</si>
  <si>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</si>
  <si>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</si>
  <si>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</si>
  <si>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</si>
  <si>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</si>
  <si>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</si>
  <si>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</si>
  <si>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</si>
  <si>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</si>
  <si>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</si>
  <si>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</si>
  <si>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</si>
  <si>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</si>
  <si>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</si>
  <si>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</si>
  <si>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</si>
  <si>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</si>
  <si>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</si>
  <si>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</si>
  <si>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</si>
  <si>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</si>
  <si>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</si>
  <si>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</si>
  <si>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</si>
  <si>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</si>
  <si>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</si>
  <si>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</si>
  <si>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</si>
  <si>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</si>
  <si>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</si>
  <si>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</si>
  <si>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</si>
  <si>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</si>
  <si>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</si>
  <si>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</si>
  <si>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</si>
  <si>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</si>
  <si>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</si>
  <si>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</si>
  <si>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</si>
  <si>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</si>
  <si>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</si>
  <si>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</si>
  <si>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</si>
  <si>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</si>
  <si>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</si>
  <si>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</si>
  <si>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</si>
  <si>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</si>
  <si>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</si>
  <si>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</si>
  <si>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</si>
  <si>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</si>
  <si>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</si>
  <si>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</si>
  <si>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</si>
  <si>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</si>
  <si>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</si>
  <si>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</si>
  <si>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</si>
  <si>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</si>
  <si>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</si>
  <si>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</si>
  <si>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</si>
  <si>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</si>
  <si>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</si>
  <si>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</si>
  <si>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</si>
  <si>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</si>
  <si>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</si>
  <si>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</si>
  <si>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</si>
  <si>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</si>
  <si>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</si>
  <si>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</si>
  <si>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</si>
  <si>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</si>
  <si>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</si>
  <si>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</si>
  <si>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</si>
  <si>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</si>
  <si>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</si>
  <si>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</si>
  <si>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</si>
  <si>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</si>
  <si>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</si>
  <si>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</si>
  <si>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</si>
  <si>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</si>
  <si>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</si>
  <si>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</si>
  <si>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</si>
  <si>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</si>
  <si>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</si>
  <si>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</si>
  <si>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</si>
  <si>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</si>
  <si>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</si>
  <si>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</si>
  <si>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</si>
  <si>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</si>
  <si>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</si>
  <si>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</si>
  <si>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</si>
  <si>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</si>
  <si>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</si>
  <si>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</si>
  <si>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</si>
  <si>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</si>
  <si>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</si>
  <si>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</si>
  <si>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</si>
  <si>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</si>
  <si>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</si>
  <si>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</si>
  <si>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</si>
  <si>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</si>
  <si>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</si>
  <si>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</si>
  <si>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</si>
  <si>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</si>
  <si>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</si>
  <si>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</si>
  <si>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</si>
  <si>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</si>
  <si>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</si>
  <si>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</si>
  <si>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</si>
  <si>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</si>
  <si>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</si>
  <si>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</si>
  <si>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</si>
  <si>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</si>
  <si>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</si>
  <si>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</si>
  <si>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</si>
  <si>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</si>
  <si>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</si>
  <si>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</si>
  <si>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</si>
  <si>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</si>
  <si>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</si>
  <si>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</si>
  <si>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</si>
  <si>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</si>
  <si>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</si>
  <si>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</si>
  <si>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</si>
  <si>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</si>
  <si>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</si>
  <si>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</si>
  <si>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</si>
  <si>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</si>
  <si>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</si>
  <si>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</si>
  <si>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</si>
  <si>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</si>
  <si>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</si>
  <si>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</si>
  <si>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</si>
  <si>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</si>
  <si>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</si>
  <si>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</si>
  <si>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</si>
  <si>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</si>
  <si>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</si>
  <si>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</si>
  <si>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</si>
  <si>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</si>
  <si>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</si>
  <si>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</si>
  <si>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</si>
  <si>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</si>
  <si>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</si>
  <si>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</si>
  <si>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</si>
  <si>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</si>
  <si>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</si>
  <si>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</si>
  <si>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</si>
  <si>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</si>
  <si>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</si>
  <si>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</si>
  <si>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</si>
  <si>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</si>
  <si>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</si>
  <si>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</si>
  <si>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</si>
  <si>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</si>
  <si>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</si>
  <si>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</si>
  <si>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</si>
  <si>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</si>
  <si>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</si>
  <si>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</si>
  <si>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</si>
  <si>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</si>
  <si>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</si>
  <si>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</si>
  <si>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</si>
  <si>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</si>
  <si>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</si>
  <si>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</si>
  <si>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</si>
  <si>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</si>
  <si>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</si>
  <si>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</si>
  <si>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</si>
  <si>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</si>
  <si>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</si>
  <si>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</si>
  <si>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</si>
  <si>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</si>
  <si>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</si>
  <si>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</si>
  <si>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</si>
  <si>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</si>
  <si>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</si>
  <si>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</si>
  <si>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</si>
  <si>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</si>
  <si>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</si>
  <si>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</si>
  <si>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</si>
  <si>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</si>
  <si>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</si>
  <si>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</si>
  <si>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</si>
  <si>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</si>
  <si>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</si>
  <si>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</si>
  <si>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</si>
  <si>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</si>
  <si>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</si>
  <si>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</si>
  <si>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</si>
  <si>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</si>
  <si>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</si>
  <si>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</si>
  <si>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</si>
  <si>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</si>
  <si>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</si>
  <si>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</si>
  <si>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</si>
  <si>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</si>
  <si>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</si>
  <si>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</si>
  <si>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</si>
  <si>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</si>
  <si>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</si>
  <si>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</si>
  <si>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</si>
  <si>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</si>
  <si>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</si>
  <si>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</si>
  <si>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</si>
  <si>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</si>
  <si>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</si>
  <si>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</si>
  <si>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</si>
  <si>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</si>
  <si>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</si>
  <si>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</si>
  <si>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</si>
  <si>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</si>
  <si>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</si>
  <si>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</si>
  <si>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</si>
  <si>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</si>
  <si>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</si>
  <si>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</si>
  <si>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</si>
  <si>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</si>
  <si>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</si>
  <si>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</si>
  <si>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</si>
  <si>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</si>
  <si>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</si>
  <si>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</si>
  <si>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</si>
  <si>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</si>
  <si>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</si>
  <si>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</si>
  <si>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</si>
  <si>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</si>
  <si>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</si>
  <si>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</si>
  <si>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</si>
  <si>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</si>
  <si>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</si>
  <si>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</si>
  <si>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</si>
  <si>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</si>
  <si>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</si>
  <si>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</si>
  <si>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</si>
  <si>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</si>
  <si>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</si>
  <si>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</si>
  <si>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</si>
  <si>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</si>
  <si>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</si>
  <si>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</si>
  <si>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</si>
  <si>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</si>
  <si>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</si>
  <si>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</si>
  <si>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</si>
  <si>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</si>
  <si>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</si>
  <si>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</si>
  <si>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</si>
  <si>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</si>
  <si>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</si>
  <si>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</si>
  <si>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</si>
  <si>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</si>
  <si>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</si>
  <si>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</si>
  <si>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</si>
  <si>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</si>
  <si>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</si>
  <si>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</si>
  <si>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</si>
  <si>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</si>
  <si>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</si>
  <si>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</si>
  <si>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</si>
  <si>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</si>
  <si>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</si>
  <si>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</si>
  <si>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</si>
  <si>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</si>
  <si>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</si>
  <si>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</si>
  <si>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</si>
  <si>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</si>
  <si>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</si>
  <si>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</si>
  <si>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</si>
  <si>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</si>
  <si>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</si>
  <si>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</si>
  <si>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</si>
  <si>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</si>
  <si>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</si>
  <si>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</si>
  <si>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</si>
  <si>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</si>
  <si>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</si>
  <si>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</si>
  <si>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</si>
  <si>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</si>
  <si>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</si>
  <si>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</si>
  <si>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</si>
  <si>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</si>
  <si>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</si>
  <si>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</si>
  <si>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</si>
  <si>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</si>
  <si>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</si>
  <si>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</si>
  <si>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</si>
  <si>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</si>
  <si>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</si>
  <si>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</si>
  <si>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</si>
  <si>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</si>
  <si>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</si>
  <si>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</si>
  <si>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</si>
  <si>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</si>
  <si>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</si>
  <si>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</si>
  <si>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</si>
  <si>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</si>
  <si>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</si>
  <si>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</si>
  <si>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</si>
  <si>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</si>
  <si>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</si>
  <si>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</si>
  <si>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</si>
  <si>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</si>
  <si>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</si>
  <si>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</si>
  <si>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</si>
  <si>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</si>
  <si>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</si>
  <si>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</si>
  <si>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</si>
  <si>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</si>
  <si>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</si>
  <si>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</si>
  <si>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</si>
  <si>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</si>
  <si>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</si>
  <si>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</si>
  <si>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</si>
  <si>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</si>
  <si>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</si>
  <si>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</si>
  <si>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</si>
  <si>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</si>
  <si>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</si>
  <si>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</si>
  <si>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</si>
  <si>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</si>
  <si>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</si>
  <si>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</si>
  <si>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</si>
  <si>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</si>
  <si>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</si>
  <si>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</si>
  <si>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</si>
  <si>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</si>
  <si>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</si>
  <si>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</si>
  <si>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</si>
  <si>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</si>
  <si>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</si>
  <si>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</si>
  <si>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</si>
  <si>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</si>
  <si>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</si>
  <si>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</si>
  <si>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</si>
  <si>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</si>
  <si>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</si>
  <si>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</si>
  <si>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</si>
  <si>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</si>
  <si>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</si>
  <si>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</si>
  <si>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</si>
  <si>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</si>
  <si>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</si>
  <si>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</si>
  <si>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</si>
  <si>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</si>
  <si>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</si>
  <si>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</si>
  <si>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</si>
  <si>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</si>
  <si>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</si>
  <si>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</si>
  <si>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</si>
  <si>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</si>
  <si>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</si>
  <si>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</si>
  <si>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</si>
  <si>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</si>
  <si>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</si>
  <si>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</si>
  <si>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</si>
  <si>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</si>
  <si>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</si>
  <si>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</si>
  <si>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</si>
  <si>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</si>
  <si>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</si>
  <si>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</si>
  <si>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</si>
  <si>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</si>
  <si>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</si>
  <si>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</si>
  <si>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</si>
  <si>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</si>
  <si>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</si>
  <si>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</si>
  <si>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</si>
  <si>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</si>
  <si>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</si>
  <si>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</si>
  <si>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</si>
  <si>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</si>
  <si>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</si>
  <si>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</si>
  <si>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</si>
  <si>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</si>
  <si>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</si>
  <si>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</si>
  <si>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</si>
  <si>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</si>
  <si>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</si>
  <si>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</si>
  <si>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</si>
  <si>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</si>
  <si>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</si>
  <si>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</si>
  <si>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</si>
  <si>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</si>
  <si>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</si>
  <si>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</si>
  <si>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</si>
  <si>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</si>
  <si>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</si>
  <si>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</si>
  <si>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</si>
  <si>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</si>
  <si>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</si>
  <si>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</si>
  <si>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</si>
  <si>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</si>
  <si>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</si>
  <si>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</si>
  <si>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</si>
  <si>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</si>
  <si>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</si>
  <si>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</si>
  <si>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</si>
  <si>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</si>
  <si>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</si>
  <si>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</si>
  <si>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</si>
  <si>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</si>
  <si>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</si>
  <si>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</si>
  <si>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</si>
  <si>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</si>
  <si>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</si>
  <si>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</si>
  <si>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</si>
  <si>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</si>
  <si>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</si>
  <si>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</si>
  <si>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</si>
  <si>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</si>
  <si>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</si>
  <si>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</si>
  <si>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</si>
  <si>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</si>
  <si>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</si>
  <si>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</si>
  <si>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</si>
  <si>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</si>
  <si>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</si>
  <si>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</si>
  <si>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</si>
  <si>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</si>
  <si>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</si>
  <si>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</si>
  <si>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</si>
  <si>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</si>
  <si>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</si>
  <si>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</si>
  <si>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</si>
  <si>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</si>
  <si>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</si>
  <si>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</si>
  <si>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</si>
  <si>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</si>
  <si>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</si>
  <si>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</si>
  <si>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</si>
  <si>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</si>
  <si>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</si>
  <si>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</si>
  <si>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</si>
  <si>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</si>
  <si>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</si>
  <si>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</si>
  <si>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</si>
  <si>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</si>
  <si>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</si>
  <si>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</si>
  <si>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</si>
  <si>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</si>
  <si>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</si>
  <si>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</si>
  <si>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</si>
  <si>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</si>
  <si>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</si>
  <si>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</si>
  <si>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</si>
  <si>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</si>
  <si>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</si>
  <si>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</si>
  <si>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</si>
  <si>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</si>
  <si>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</si>
  <si>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</si>
  <si>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</si>
  <si>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</si>
  <si>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</si>
  <si>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</si>
  <si>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</si>
  <si>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</si>
  <si>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</si>
  <si>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</si>
  <si>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</si>
  <si>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</si>
  <si>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</si>
  <si>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</si>
  <si>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</si>
  <si>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</si>
  <si>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</si>
  <si>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</si>
  <si>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</si>
  <si>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</si>
  <si>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</si>
  <si>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</si>
  <si>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</si>
  <si>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</si>
  <si>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</si>
  <si>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</si>
  <si>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</si>
  <si>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</si>
  <si>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</si>
  <si>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</si>
  <si>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</si>
  <si>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</si>
  <si>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</si>
  <si>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</si>
  <si>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</si>
  <si>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</si>
  <si>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</si>
  <si>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</si>
  <si>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</si>
  <si>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</si>
  <si>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</si>
  <si>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</si>
  <si>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</si>
  <si>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</si>
  <si>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</si>
  <si>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</si>
  <si>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</si>
  <si>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</si>
  <si>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</si>
  <si>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</si>
  <si>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</si>
  <si>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</si>
  <si>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</si>
  <si>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</si>
  <si>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</si>
  <si>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</si>
  <si>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</si>
  <si>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</si>
  <si>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</si>
  <si>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</si>
  <si>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</si>
  <si>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</si>
  <si>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</si>
  <si>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</si>
  <si>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</si>
  <si>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</si>
  <si>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</si>
  <si>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</si>
  <si>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</si>
  <si>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</si>
  <si>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</si>
  <si>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</si>
  <si>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</si>
  <si>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</si>
  <si>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</si>
  <si>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</si>
  <si>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</si>
  <si>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</si>
  <si>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</si>
  <si>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</si>
  <si>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</si>
  <si>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</si>
  <si>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</si>
  <si>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</si>
  <si>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</si>
  <si>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</si>
  <si>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</si>
  <si>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</si>
  <si>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</si>
  <si>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</si>
  <si>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</si>
  <si>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</si>
  <si>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</si>
  <si>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</si>
  <si>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</si>
  <si>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</si>
  <si>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</si>
  <si>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</si>
  <si>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</si>
  <si>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</si>
  <si>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</si>
  <si>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</si>
  <si>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</si>
  <si>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</si>
  <si>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</si>
  <si>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</si>
  <si>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</si>
  <si>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</si>
  <si>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</si>
  <si>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</si>
  <si>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</si>
  <si>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</si>
  <si>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</si>
  <si>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</si>
  <si>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</si>
  <si>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</si>
  <si>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</si>
  <si>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</si>
  <si>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</si>
  <si>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</si>
  <si>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</si>
  <si>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</si>
  <si>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</si>
  <si>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</si>
  <si>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</si>
  <si>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</si>
  <si>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</si>
  <si>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</si>
  <si>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</si>
  <si>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</si>
  <si>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</si>
  <si>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</si>
  <si>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</si>
  <si>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</si>
  <si>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</si>
  <si>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</si>
  <si>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</si>
  <si>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</si>
  <si>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</si>
  <si>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</si>
  <si>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</si>
  <si>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</si>
  <si>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</si>
  <si>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</si>
  <si>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</si>
  <si>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</si>
  <si>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</si>
  <si>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</si>
  <si>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</si>
  <si>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</si>
  <si>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</si>
  <si>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</si>
  <si>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</si>
  <si>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</si>
  <si>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</si>
  <si>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</si>
  <si>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</si>
  <si>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</si>
  <si>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</si>
  <si>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</si>
  <si>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</si>
  <si>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</si>
  <si>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</si>
  <si>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</si>
  <si>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</si>
  <si>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</si>
  <si>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</si>
  <si>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</si>
  <si>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</si>
  <si>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</si>
  <si>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</si>
  <si>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</si>
  <si>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</si>
  <si>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</si>
  <si>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</si>
  <si>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</si>
  <si>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</si>
  <si>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</si>
  <si>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</si>
  <si>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</si>
  <si>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</si>
  <si>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</si>
  <si>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</si>
  <si>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</si>
  <si>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</si>
  <si>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</si>
  <si>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</si>
  <si>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</si>
  <si>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</si>
  <si>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</si>
  <si>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</si>
  <si>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</si>
  <si>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</si>
  <si>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</si>
  <si>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</si>
  <si>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</si>
  <si>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</si>
  <si>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</si>
  <si>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</si>
  <si>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</si>
  <si>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</si>
  <si>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</si>
  <si>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</si>
  <si>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</si>
  <si>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</si>
  <si>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</si>
  <si>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</si>
  <si>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</si>
  <si>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</si>
  <si>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</si>
  <si>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</si>
  <si>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</si>
  <si>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</si>
  <si>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</si>
  <si>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</si>
  <si>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</si>
  <si>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</si>
  <si>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</si>
  <si>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</si>
  <si>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</si>
  <si>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</si>
  <si>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</si>
  <si>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</si>
  <si>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</si>
  <si>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</si>
  <si>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</si>
  <si>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</si>
  <si>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</si>
  <si>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</si>
  <si>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</si>
  <si>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</si>
  <si>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</si>
  <si>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</si>
  <si>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</si>
  <si>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</si>
  <si>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</si>
  <si>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</si>
  <si>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</si>
  <si>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</si>
  <si>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</si>
  <si>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</si>
  <si>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</si>
  <si>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</si>
  <si>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</si>
  <si>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</si>
  <si>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</si>
  <si>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</si>
  <si>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</si>
  <si>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</si>
  <si>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</si>
  <si>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</si>
  <si>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</si>
  <si>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</si>
  <si>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</si>
  <si>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</si>
  <si>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</si>
  <si>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</si>
  <si>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</si>
  <si>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</si>
  <si>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</si>
  <si>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</si>
  <si>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</si>
  <si>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</si>
  <si>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</si>
  <si>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</si>
  <si>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</si>
  <si>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</si>
  <si>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</si>
  <si>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</si>
  <si>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</si>
  <si>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</si>
  <si>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</si>
  <si>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</si>
  <si>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</si>
  <si>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</si>
  <si>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</si>
  <si>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</si>
  <si>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</si>
  <si>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</si>
  <si>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</si>
  <si>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</si>
  <si>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</si>
  <si>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</si>
  <si>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</si>
  <si>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</si>
  <si>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</si>
  <si>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</si>
  <si>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</si>
  <si>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</si>
  <si>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</si>
  <si>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</si>
  <si>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</si>
  <si>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</si>
  <si>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</si>
  <si>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</si>
  <si>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</si>
  <si>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</si>
  <si>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</si>
  <si>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</si>
  <si>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</si>
  <si>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</si>
  <si>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</si>
  <si>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</si>
  <si>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</si>
  <si>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</si>
  <si>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</si>
  <si>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</si>
  <si>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</si>
  <si>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</si>
  <si>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</si>
  <si>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</si>
  <si>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</si>
  <si>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</si>
  <si>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</si>
  <si>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</si>
  <si>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</si>
  <si>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</si>
  <si>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</si>
  <si>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</si>
  <si>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</si>
  <si>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</si>
  <si>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</si>
  <si>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</si>
  <si>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</si>
  <si>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</si>
  <si>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</si>
  <si>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</si>
  <si>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</si>
  <si>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</si>
  <si>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</si>
  <si>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</si>
  <si>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</si>
  <si>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</si>
  <si>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</si>
  <si>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</si>
  <si>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</si>
  <si>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</si>
  <si>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</si>
  <si>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</si>
  <si>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</si>
  <si>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</si>
  <si>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</si>
  <si>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</si>
  <si>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</si>
  <si>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</si>
  <si>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</si>
  <si>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</si>
  <si>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</si>
  <si>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</si>
  <si>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</si>
  <si>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</si>
  <si>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</si>
  <si>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</si>
  <si>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</si>
  <si>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</si>
  <si>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</si>
  <si>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</si>
  <si>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</si>
  <si>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</si>
  <si>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</si>
  <si>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</si>
  <si>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</si>
  <si>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</si>
  <si>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</si>
  <si>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</si>
  <si>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</si>
  <si>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</si>
  <si>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</si>
  <si>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</si>
  <si>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</si>
  <si>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</si>
  <si>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</si>
  <si>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</si>
  <si>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</si>
  <si>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</si>
  <si>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</si>
  <si>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</si>
  <si>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</si>
  <si>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</si>
  <si>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</si>
  <si>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</si>
  <si>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</si>
  <si>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</si>
  <si>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</si>
  <si>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</si>
  <si>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</si>
  <si>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</si>
  <si>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</si>
  <si>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</si>
  <si>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</si>
  <si>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</si>
  <si>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</si>
  <si>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</si>
  <si>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</si>
  <si>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</si>
  <si>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</si>
  <si>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</si>
  <si>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</si>
  <si>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</si>
  <si>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</si>
  <si>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</si>
  <si>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</si>
  <si>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</si>
  <si>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</si>
  <si>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</si>
  <si>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</si>
  <si>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</si>
  <si>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</si>
  <si>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</si>
  <si>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</si>
  <si>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</si>
  <si>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</si>
  <si>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</si>
  <si>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</si>
  <si>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</si>
  <si>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</si>
  <si>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</si>
  <si>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</si>
  <si>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</si>
  <si>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</si>
  <si>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</si>
  <si>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</si>
  <si>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</si>
  <si>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</si>
  <si>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</si>
  <si>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</si>
  <si>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</si>
  <si>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</si>
  <si>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</si>
  <si>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</si>
  <si>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</si>
  <si>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</si>
  <si>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</si>
  <si>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</si>
  <si>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</si>
  <si>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</si>
  <si>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</si>
  <si>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</si>
  <si>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</si>
  <si>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</si>
  <si>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</si>
  <si>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</si>
  <si>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</si>
  <si>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</si>
  <si>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</si>
  <si>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</si>
  <si>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</si>
  <si>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</si>
  <si>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</si>
  <si>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</si>
  <si>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</si>
  <si>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</si>
  <si>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</si>
  <si>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</si>
  <si>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</si>
  <si>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</si>
  <si>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</si>
  <si>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</si>
  <si>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</si>
  <si>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</si>
  <si>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</si>
  <si>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</si>
  <si>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</si>
  <si>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</si>
  <si>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</si>
  <si>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</si>
  <si>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</si>
  <si>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</si>
  <si>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</si>
  <si>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</si>
  <si>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</si>
  <si>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</si>
  <si>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</si>
  <si>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</si>
  <si>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</si>
  <si>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</si>
  <si>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</si>
  <si>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</si>
  <si>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</si>
  <si>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</si>
  <si>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</si>
  <si>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</si>
  <si>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</si>
  <si>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</si>
  <si>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</si>
  <si>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</si>
  <si>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</si>
  <si>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</si>
  <si>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</si>
  <si>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</si>
  <si>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</si>
  <si>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</si>
  <si>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</si>
  <si>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</si>
  <si>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</si>
  <si>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</si>
  <si>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</si>
  <si>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</si>
  <si>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</si>
  <si>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</si>
  <si>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</si>
  <si>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</si>
  <si>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</si>
  <si>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</si>
  <si>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</si>
  <si>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</si>
  <si>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</si>
  <si>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</si>
  <si>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</si>
  <si>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</si>
  <si>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</si>
  <si>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</si>
  <si>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</si>
  <si>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</si>
  <si>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</si>
  <si>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</si>
  <si>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</si>
  <si>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</si>
  <si>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</si>
  <si>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</si>
  <si>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</si>
  <si>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</si>
  <si>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</si>
  <si>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</si>
  <si>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</si>
  <si>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</si>
  <si>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</si>
  <si>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</si>
  <si>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</si>
  <si>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</si>
  <si>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</si>
  <si>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</si>
  <si>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</si>
  <si>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</si>
  <si>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</si>
  <si>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</si>
  <si>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</si>
  <si>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</si>
  <si>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</si>
  <si>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</si>
  <si>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</si>
  <si>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</si>
  <si>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</si>
  <si>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</si>
  <si>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</si>
  <si>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</si>
  <si>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</si>
  <si>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</si>
  <si>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</si>
  <si>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</si>
  <si>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</si>
  <si>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</si>
  <si>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</si>
  <si>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</si>
  <si>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</si>
  <si>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</si>
  <si>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</si>
  <si>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</si>
  <si>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</si>
  <si>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</si>
  <si>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</si>
  <si>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</si>
  <si>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</si>
  <si>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</si>
  <si>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</si>
  <si>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</si>
  <si>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</si>
  <si>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</si>
  <si>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</si>
  <si>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</si>
  <si>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</si>
  <si>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</si>
  <si>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</si>
  <si>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</si>
  <si>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</si>
  <si>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</si>
  <si>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</si>
  <si>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</si>
  <si>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</si>
  <si>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</si>
  <si>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</si>
  <si>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</si>
  <si>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</si>
  <si>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</si>
  <si>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</si>
  <si>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</si>
  <si>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</si>
  <si>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</si>
  <si>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</si>
  <si>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</si>
  <si>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</si>
  <si>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</si>
  <si>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</si>
  <si>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</si>
  <si>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</si>
  <si>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</si>
  <si>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</si>
  <si>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</si>
  <si>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</si>
  <si>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</si>
  <si>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</si>
  <si>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</si>
  <si>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</si>
  <si>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</si>
  <si>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</si>
  <si>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</si>
  <si>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</si>
  <si>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</si>
  <si>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</si>
  <si>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</si>
  <si>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</si>
  <si>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</si>
  <si>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</si>
  <si>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</si>
  <si>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</si>
  <si>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</si>
  <si>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</si>
  <si>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</si>
  <si>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</si>
  <si>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</si>
  <si>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</si>
  <si>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</si>
  <si>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</si>
  <si>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</si>
  <si>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</si>
  <si>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</si>
  <si>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</si>
  <si>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</si>
  <si>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</si>
  <si>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</si>
  <si>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</si>
  <si>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</si>
  <si>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</si>
  <si>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</si>
  <si>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</si>
  <si>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</si>
  <si>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</si>
  <si>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</si>
  <si>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</si>
  <si>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</si>
  <si>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</si>
  <si>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</si>
  <si>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</si>
  <si>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</si>
  <si>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</si>
  <si>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</si>
  <si>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</si>
  <si>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</si>
  <si>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</si>
  <si>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</si>
  <si>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</si>
  <si>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</si>
  <si>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</si>
  <si>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</si>
  <si>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</si>
  <si>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</si>
  <si>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</si>
  <si>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</si>
  <si>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</si>
  <si>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</si>
  <si>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</si>
  <si>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</si>
  <si>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</si>
  <si>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</si>
  <si>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</si>
  <si>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</si>
  <si>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</si>
  <si>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</si>
  <si>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</si>
  <si>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</si>
  <si>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</si>
  <si>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</si>
  <si>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</si>
  <si>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</si>
  <si>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</si>
  <si>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</si>
  <si>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</si>
  <si>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</si>
  <si>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</si>
  <si>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</si>
  <si>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</si>
  <si>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</si>
  <si>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</si>
  <si>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</si>
  <si>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</si>
  <si>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</si>
  <si>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</si>
  <si>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</si>
  <si>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</si>
  <si>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</si>
  <si>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</si>
  <si>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</si>
  <si>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</si>
  <si>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</si>
  <si>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</si>
  <si>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</si>
  <si>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</si>
  <si>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</si>
  <si>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</si>
  <si>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</si>
  <si>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</si>
  <si>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</si>
  <si>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</si>
  <si>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</si>
  <si>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</si>
  <si>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</si>
  <si>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</si>
  <si>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</si>
  <si>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</si>
  <si>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</si>
  <si>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</si>
  <si>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</si>
  <si>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</si>
  <si>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</si>
  <si>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</si>
  <si>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</si>
  <si>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</si>
  <si>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</si>
  <si>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</si>
  <si>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</si>
  <si>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</si>
  <si>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</si>
  <si>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</si>
  <si>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</si>
  <si>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</si>
  <si>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</si>
  <si>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</si>
  <si>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</si>
  <si>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</si>
  <si>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</si>
  <si>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</si>
  <si>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</si>
  <si>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</si>
  <si>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</si>
  <si>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</si>
  <si>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</si>
  <si>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</si>
  <si>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</si>
  <si>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</si>
  <si>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</si>
  <si>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</si>
  <si>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</si>
  <si>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</si>
  <si>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</si>
  <si>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</si>
  <si>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</si>
  <si>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</si>
  <si>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</si>
  <si>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</si>
  <si>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</si>
  <si>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</si>
  <si>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</si>
  <si>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</si>
  <si>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</si>
  <si>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</si>
  <si>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</si>
  <si>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</si>
  <si>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</si>
  <si>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</si>
  <si>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</si>
  <si>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</si>
  <si>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</si>
  <si>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</si>
  <si>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</si>
  <si>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</si>
  <si>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</si>
  <si>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</si>
  <si>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</si>
  <si>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</si>
  <si>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</si>
  <si>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</si>
  <si>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</si>
  <si>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</si>
  <si>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</si>
  <si>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</si>
  <si>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</si>
  <si>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</si>
  <si>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</si>
  <si>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</si>
  <si>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</si>
  <si>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</si>
  <si>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</si>
  <si>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</si>
  <si>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</si>
  <si>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</si>
  <si>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</si>
  <si>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</si>
  <si>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</si>
  <si>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</si>
  <si>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</si>
  <si>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</si>
  <si>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</si>
  <si>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</si>
  <si>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</si>
  <si>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</si>
  <si>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</si>
  <si>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</si>
  <si>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</si>
  <si>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</si>
  <si>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</si>
  <si>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</si>
  <si>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</si>
  <si>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</si>
  <si>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</si>
  <si>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</si>
  <si>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</si>
  <si>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</si>
  <si>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</si>
  <si>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</si>
  <si>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</si>
  <si>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</si>
  <si>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</si>
  <si>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</si>
  <si>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</si>
  <si>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</si>
  <si>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</si>
  <si>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</si>
  <si>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</si>
  <si>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</si>
  <si>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</si>
  <si>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</si>
  <si>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</si>
  <si>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</si>
  <si>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</si>
  <si>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</si>
  <si>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</si>
  <si>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</si>
  <si>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</si>
  <si>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</si>
  <si>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</si>
  <si>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</si>
  <si>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</si>
  <si>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</si>
  <si>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</si>
  <si>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</si>
  <si>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</si>
  <si>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</si>
  <si>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</si>
  <si>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</si>
  <si>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</si>
  <si>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</si>
  <si>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</si>
  <si>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</si>
  <si>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</si>
  <si>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</si>
  <si>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</si>
  <si>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</si>
  <si>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</si>
  <si>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</si>
  <si>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</si>
  <si>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</si>
  <si>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</si>
  <si>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</si>
  <si>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</si>
  <si>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</si>
  <si>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</si>
  <si>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</si>
  <si>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</si>
  <si>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</si>
  <si>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</si>
  <si>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</si>
  <si>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</si>
  <si>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</si>
  <si>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</si>
  <si>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</si>
  <si>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</si>
  <si>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</si>
  <si>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</si>
  <si>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</si>
  <si>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</si>
  <si>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</si>
  <si>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</si>
  <si>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</si>
  <si>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</si>
  <si>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</si>
  <si>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</si>
  <si>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</si>
  <si>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</si>
  <si>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</si>
  <si>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</si>
  <si>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</si>
  <si>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</si>
  <si>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</si>
  <si>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</si>
  <si>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</si>
  <si>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</si>
  <si>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</si>
  <si>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</si>
  <si>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</si>
  <si>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</si>
  <si>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</si>
  <si>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</si>
  <si>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</si>
  <si>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</si>
  <si>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</si>
  <si>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</si>
  <si>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</si>
  <si>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</si>
  <si>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</si>
  <si>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</si>
  <si>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</si>
  <si>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</si>
  <si>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</si>
  <si>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</si>
  <si>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</si>
  <si>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</si>
  <si>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</si>
  <si>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</si>
  <si>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</si>
  <si>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</si>
  <si>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</si>
  <si>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</si>
  <si>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</si>
  <si>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</si>
  <si>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</si>
  <si>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</si>
  <si>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</si>
  <si>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</si>
  <si>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</si>
  <si>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</si>
  <si>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</si>
  <si>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</si>
  <si>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</si>
  <si>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</si>
  <si>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</si>
  <si>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</si>
  <si>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</si>
  <si>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</si>
  <si>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</si>
  <si>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</si>
  <si>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</si>
  <si>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</si>
  <si>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</si>
  <si>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</si>
  <si>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</si>
  <si>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</si>
  <si>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</si>
  <si>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</si>
  <si>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</si>
  <si>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</si>
  <si>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</si>
  <si>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</si>
  <si>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</si>
  <si>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</si>
  <si>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</si>
  <si>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</si>
  <si>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</si>
  <si>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</si>
  <si>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</si>
  <si>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</si>
  <si>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</si>
  <si>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</si>
  <si>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</si>
  <si>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</si>
  <si>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</si>
  <si>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</si>
  <si>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</si>
  <si>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</si>
  <si>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</si>
  <si>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</si>
  <si>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</si>
  <si>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</si>
  <si>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</si>
  <si>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</si>
  <si>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</si>
  <si>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</si>
  <si>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</si>
  <si>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</si>
  <si>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</si>
  <si>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</si>
  <si>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</si>
  <si>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</si>
  <si>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</si>
  <si>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</si>
  <si>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</si>
  <si>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</si>
  <si>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</si>
  <si>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</si>
  <si>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</si>
  <si>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</si>
  <si>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</si>
  <si>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</si>
  <si>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</si>
  <si>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</si>
  <si>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</si>
  <si>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</si>
  <si>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</si>
  <si>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</si>
  <si>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</si>
  <si>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</si>
  <si>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</si>
  <si>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</si>
  <si>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</si>
  <si>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</si>
  <si>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</si>
  <si>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</si>
  <si>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</si>
  <si>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</si>
  <si>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</si>
  <si>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</si>
  <si>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</si>
  <si>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</si>
  <si>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</si>
  <si>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</si>
  <si>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</si>
  <si>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</si>
  <si>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</si>
  <si>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</si>
  <si>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</si>
  <si>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</si>
  <si>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</si>
  <si>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</si>
  <si>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</si>
  <si>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</si>
  <si>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</si>
  <si>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</si>
  <si>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</si>
  <si>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</si>
  <si>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</si>
  <si>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</si>
  <si>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</si>
  <si>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</si>
  <si>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</si>
  <si>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</si>
  <si>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</si>
  <si>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</si>
  <si>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</si>
  <si>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</si>
  <si>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</si>
  <si>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</si>
  <si>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</si>
  <si>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</si>
  <si>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</si>
  <si>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</si>
  <si>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</si>
  <si>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</si>
  <si>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</si>
  <si>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</si>
  <si>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</si>
  <si>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</si>
  <si>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</si>
  <si>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</si>
  <si>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</si>
  <si>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</si>
  <si>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</si>
  <si>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</si>
  <si>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</si>
  <si>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</si>
  <si>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</si>
  <si>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</si>
  <si>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</si>
  <si>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</si>
  <si>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</si>
  <si>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</si>
  <si>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</si>
  <si>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</si>
  <si>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</si>
  <si>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</si>
  <si>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</si>
  <si>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</si>
  <si>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</si>
  <si>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</si>
  <si>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</si>
  <si>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</si>
  <si>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</si>
  <si>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</si>
  <si>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</si>
  <si>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</si>
  <si>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</si>
  <si>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</si>
  <si>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</si>
  <si>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</si>
  <si>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</si>
  <si>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</si>
  <si>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</si>
  <si>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</si>
  <si>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</si>
  <si>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</si>
  <si>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</si>
  <si>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</si>
  <si>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</si>
  <si>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</si>
  <si>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</si>
  <si>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</si>
  <si>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</si>
  <si>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</si>
  <si>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</si>
  <si>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</si>
  <si>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</si>
  <si>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</si>
  <si>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</si>
  <si>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</si>
  <si>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</si>
  <si>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</si>
  <si>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</si>
  <si>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</si>
  <si>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</si>
  <si>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</si>
  <si>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</si>
  <si>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</si>
  <si>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</si>
  <si>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</si>
  <si>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</si>
  <si>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</si>
  <si>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</si>
  <si>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</si>
  <si>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</si>
  <si>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</si>
  <si>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</si>
  <si>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</si>
  <si>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</si>
  <si>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</si>
  <si>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</si>
  <si>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</si>
  <si>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</si>
  <si>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</si>
  <si>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</si>
  <si>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</si>
  <si>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</si>
  <si>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</si>
  <si>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</si>
  <si>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</si>
  <si>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</si>
  <si>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</si>
  <si>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</si>
  <si>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</si>
  <si>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</si>
  <si>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</si>
  <si>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</si>
  <si>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</si>
  <si>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</si>
  <si>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</si>
  <si>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</si>
  <si>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</si>
  <si>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</si>
  <si>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</si>
  <si>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</si>
  <si>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</si>
  <si>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</si>
  <si>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</si>
  <si>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</si>
  <si>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</si>
  <si>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</si>
  <si>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</si>
  <si>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</si>
  <si>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</si>
  <si>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</si>
  <si>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</si>
  <si>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</si>
  <si>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</si>
  <si>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</si>
  <si>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</si>
  <si>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</si>
  <si>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</si>
  <si>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</si>
  <si>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</si>
  <si>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</si>
  <si>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</si>
  <si>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</si>
  <si>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</si>
  <si>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</si>
  <si>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</si>
  <si>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</si>
  <si>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</si>
  <si>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</si>
  <si>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</si>
  <si>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</si>
  <si>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</si>
  <si>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</si>
  <si>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</si>
  <si>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</si>
  <si>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</si>
  <si>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</si>
  <si>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</si>
  <si>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</si>
  <si>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</si>
  <si>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</si>
  <si>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</si>
  <si>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</si>
  <si>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</si>
  <si>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</si>
  <si>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</si>
  <si>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</si>
  <si>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</si>
  <si>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</si>
  <si>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</si>
  <si>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</si>
  <si>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</si>
  <si>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</si>
  <si>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</si>
  <si>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</si>
  <si>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</si>
  <si>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</si>
  <si>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</si>
  <si>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</si>
  <si>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</si>
  <si>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</si>
  <si>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</si>
  <si>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</si>
  <si>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</si>
  <si>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</si>
  <si>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</si>
  <si>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</si>
  <si>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</si>
  <si>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</si>
  <si>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</si>
  <si>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</si>
  <si>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</si>
  <si>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</si>
  <si>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</si>
  <si>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</si>
  <si>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</si>
  <si>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</si>
  <si>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</si>
  <si>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</si>
  <si>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</si>
  <si>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</si>
  <si>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</si>
  <si>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</si>
  <si>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</si>
  <si>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</si>
  <si>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</si>
  <si>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</si>
  <si>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</si>
  <si>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</si>
  <si>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</si>
  <si>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</si>
  <si>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</si>
  <si>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</si>
  <si>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</si>
  <si>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</si>
  <si>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</si>
  <si>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</si>
  <si>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</si>
  <si>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</si>
  <si>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</si>
  <si>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</si>
  <si>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</si>
  <si>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</si>
  <si>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</si>
  <si>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</si>
  <si>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</si>
  <si>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</si>
  <si>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</si>
  <si>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</si>
  <si>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</si>
  <si>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</si>
  <si>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</si>
  <si>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</si>
  <si>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</si>
  <si>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</si>
  <si>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</si>
  <si>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</si>
  <si>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</si>
  <si>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</si>
  <si>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</si>
  <si>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</si>
  <si>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</si>
  <si>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</si>
  <si>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</si>
  <si>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</si>
  <si>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</si>
  <si>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</si>
  <si>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</si>
  <si>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</si>
  <si>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</si>
  <si>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</si>
  <si>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</si>
  <si>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</si>
  <si>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</si>
  <si>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</si>
  <si>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</si>
  <si>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</si>
  <si>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</si>
  <si>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</si>
  <si>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</si>
  <si>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</si>
  <si>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</si>
  <si>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</si>
  <si>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</si>
  <si>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</si>
  <si>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</si>
  <si>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</si>
  <si>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</si>
  <si>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</si>
  <si>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</si>
  <si>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</si>
  <si>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</si>
  <si>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</si>
  <si>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</si>
  <si>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</si>
  <si>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</si>
  <si>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</si>
  <si>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</si>
  <si>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</si>
  <si>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</si>
  <si>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</si>
  <si>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</si>
  <si>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</si>
  <si>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</si>
  <si>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</si>
  <si>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</si>
  <si>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</si>
  <si>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</si>
  <si>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</si>
  <si>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</si>
  <si>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</si>
  <si>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</si>
  <si>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</si>
  <si>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</si>
  <si>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</si>
  <si>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</si>
  <si>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</si>
  <si>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</si>
  <si>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</si>
  <si>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</si>
  <si>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</si>
  <si>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</si>
  <si>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</si>
  <si>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</si>
  <si>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</si>
  <si>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</si>
  <si>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</si>
  <si>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</si>
  <si>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</si>
  <si>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</si>
  <si>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</si>
  <si>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</si>
  <si>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</si>
  <si>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</si>
  <si>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</si>
  <si>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</si>
  <si>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</si>
  <si>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</si>
  <si>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</si>
  <si>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</si>
  <si>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</si>
  <si>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</si>
  <si>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</si>
  <si>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</si>
  <si>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</si>
  <si>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</si>
  <si>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</si>
  <si>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</si>
  <si>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</si>
  <si>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</si>
  <si>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</si>
  <si>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</si>
  <si>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</si>
  <si>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</si>
  <si>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</si>
  <si>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</si>
  <si>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</si>
  <si>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</si>
  <si>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</si>
  <si>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</si>
  <si>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</si>
  <si>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</si>
  <si>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</si>
  <si>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</si>
  <si>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</si>
  <si>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</si>
  <si>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</si>
  <si>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</si>
  <si>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</si>
  <si>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</si>
  <si>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</si>
  <si>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</si>
  <si>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</si>
  <si>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</si>
  <si>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</si>
  <si>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</si>
  <si>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</si>
  <si>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</si>
  <si>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</si>
  <si>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</si>
  <si>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</si>
  <si>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</si>
  <si>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</si>
  <si>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</si>
  <si>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</si>
  <si>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</si>
  <si>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</si>
  <si>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</si>
  <si>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</si>
  <si>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</si>
  <si>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</si>
  <si>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</si>
  <si>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</si>
  <si>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</si>
  <si>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</si>
  <si>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</si>
  <si>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</si>
  <si>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</si>
  <si>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</si>
  <si>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</si>
  <si>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</si>
  <si>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</si>
  <si>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</si>
  <si>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</si>
  <si>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</si>
  <si>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</si>
  <si>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</si>
  <si>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</si>
  <si>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</si>
  <si>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</si>
  <si>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</si>
  <si>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</si>
  <si>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</si>
  <si>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</si>
  <si>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</si>
  <si>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</si>
  <si>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</si>
  <si>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</si>
  <si>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</si>
  <si>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</si>
  <si>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</si>
  <si>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</si>
  <si>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</si>
  <si>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</si>
  <si>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</si>
  <si>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</si>
  <si>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</si>
  <si>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</si>
  <si>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</si>
  <si>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</si>
  <si>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</si>
  <si>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</si>
  <si>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</si>
  <si>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</si>
  <si>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</si>
  <si>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</si>
  <si>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</si>
  <si>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</si>
  <si>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</si>
  <si>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</si>
  <si>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</si>
  <si>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</si>
  <si>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</si>
  <si>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</si>
  <si>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</si>
  <si>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</si>
  <si>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</si>
  <si>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</si>
  <si>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</si>
  <si>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</si>
  <si>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</si>
  <si>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</si>
  <si>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</si>
  <si>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</si>
  <si>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</si>
  <si>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</si>
  <si>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</si>
  <si>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</si>
  <si>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</si>
  <si>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</si>
  <si>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</si>
  <si>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</si>
  <si>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</si>
  <si>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</si>
  <si>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</si>
  <si>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</si>
  <si>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</si>
  <si>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</si>
  <si>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</si>
  <si>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</si>
  <si>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</si>
  <si>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</si>
  <si>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</si>
  <si>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</si>
  <si>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</si>
  <si>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</si>
  <si>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</si>
  <si>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</si>
  <si>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</si>
  <si>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</si>
  <si>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</si>
  <si>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</si>
  <si>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</si>
  <si>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</si>
  <si>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</si>
  <si>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</si>
  <si>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</si>
  <si>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</si>
  <si>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</si>
  <si>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</si>
  <si>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</si>
  <si>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</si>
  <si>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</si>
  <si>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</si>
  <si>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</si>
  <si>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</si>
  <si>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</si>
  <si>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</si>
  <si>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</si>
  <si>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</si>
  <si>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</si>
  <si>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</si>
  <si>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</si>
  <si>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</si>
  <si>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</si>
  <si>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</si>
  <si>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</si>
  <si>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</si>
  <si>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</si>
  <si>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</si>
  <si>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</si>
  <si>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</si>
  <si>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</si>
  <si>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</si>
  <si>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</si>
  <si>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</si>
  <si>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</si>
  <si>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</si>
  <si>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</si>
  <si>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</si>
  <si>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</si>
  <si>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</si>
  <si>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</si>
  <si>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</si>
  <si>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</si>
  <si>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</si>
  <si>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</si>
  <si>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</si>
  <si>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</si>
  <si>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</si>
  <si>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</si>
  <si>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</si>
  <si>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</si>
  <si>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</si>
  <si>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</si>
  <si>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</si>
  <si>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</si>
  <si>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</si>
  <si>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</si>
  <si>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</si>
  <si>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</si>
  <si>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</si>
  <si>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</si>
  <si>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</si>
  <si>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</si>
  <si>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</si>
  <si>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</si>
  <si>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</si>
  <si>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</si>
  <si>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</si>
  <si>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</si>
  <si>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</si>
  <si>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</si>
  <si>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</si>
  <si>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</si>
  <si>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</si>
  <si>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</si>
  <si>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</si>
  <si>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</si>
  <si>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</si>
  <si>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</si>
  <si>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</si>
  <si>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</si>
  <si>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</si>
  <si>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</si>
  <si>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</si>
  <si>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</si>
  <si>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</si>
  <si>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</si>
  <si>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</si>
  <si>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</si>
  <si>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</si>
  <si>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</si>
  <si>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</si>
  <si>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</si>
  <si>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</si>
  <si>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</si>
  <si>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</si>
  <si>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</si>
  <si>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</si>
  <si>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</si>
  <si>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</si>
  <si>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</si>
  <si>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</si>
  <si>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</si>
  <si>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</si>
  <si>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</si>
  <si>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</si>
  <si>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</si>
  <si>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</si>
  <si>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</si>
  <si>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</si>
  <si>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</si>
  <si>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</si>
  <si>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</si>
  <si>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</si>
  <si>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</si>
  <si>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</si>
  <si>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</si>
  <si>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</si>
  <si>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</si>
  <si>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</si>
  <si>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</si>
  <si>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</si>
  <si>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</si>
  <si>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</si>
  <si>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</si>
  <si>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</si>
  <si>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</si>
  <si>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</si>
  <si>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</si>
  <si>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</si>
  <si>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</si>
  <si>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</si>
  <si>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</si>
  <si>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</si>
  <si>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</si>
  <si>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</si>
  <si>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</si>
  <si>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</si>
  <si>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</si>
  <si>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</si>
  <si>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</si>
  <si>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</si>
  <si>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</si>
  <si>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</si>
  <si>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</si>
  <si>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</si>
  <si>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</si>
  <si>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</si>
  <si>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</si>
  <si>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</si>
  <si>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</si>
  <si>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</si>
  <si>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</si>
  <si>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</si>
  <si>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</si>
  <si>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</si>
  <si>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</si>
  <si>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</si>
  <si>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</si>
  <si>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</si>
  <si>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</si>
  <si>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</si>
  <si>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</si>
  <si>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</si>
  <si>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</si>
  <si>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</si>
  <si>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</si>
  <si>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</si>
  <si>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</si>
  <si>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</si>
  <si>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</si>
  <si>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</si>
  <si>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</si>
  <si>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</si>
  <si>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</si>
  <si>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</si>
  <si>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</si>
  <si>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</si>
  <si>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</si>
  <si>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</si>
  <si>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</si>
  <si>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</si>
  <si>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</si>
  <si>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</si>
  <si>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</si>
  <si>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</si>
  <si>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</si>
  <si>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</si>
  <si>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</si>
  <si>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</si>
  <si>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</si>
  <si>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</si>
  <si>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</si>
  <si>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</si>
  <si>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</si>
  <si>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</si>
  <si>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</si>
  <si>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</si>
  <si>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</si>
  <si>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</si>
  <si>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</si>
  <si>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</si>
  <si>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</si>
  <si>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</si>
  <si>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</si>
  <si>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</si>
  <si>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</si>
  <si>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</si>
  <si>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</si>
  <si>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</si>
  <si>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</si>
  <si>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</si>
  <si>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</si>
  <si>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</si>
  <si>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</si>
  <si>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</si>
  <si>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</si>
  <si>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</si>
  <si>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</si>
  <si>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</si>
  <si>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</si>
  <si>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</si>
  <si>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</si>
  <si>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</si>
  <si>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</si>
  <si>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</si>
  <si>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</si>
  <si>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</si>
  <si>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</si>
  <si>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</si>
  <si>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</si>
  <si>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</si>
  <si>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</si>
  <si>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</si>
  <si>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</si>
  <si>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</si>
  <si>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</si>
  <si>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</si>
  <si>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</si>
  <si>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</si>
  <si>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</si>
  <si>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</si>
  <si>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</si>
  <si>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</si>
  <si>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</si>
  <si>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</si>
  <si>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</si>
  <si>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</si>
  <si>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</si>
  <si>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</si>
  <si>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</si>
  <si>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</si>
  <si>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</si>
  <si>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</si>
  <si>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</si>
  <si>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</si>
  <si>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</si>
  <si>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</si>
  <si>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</si>
  <si>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</si>
  <si>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</si>
  <si>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</si>
  <si>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</si>
  <si>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</si>
  <si>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</si>
  <si>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</si>
  <si>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</si>
  <si>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</si>
  <si>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</si>
  <si>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</si>
  <si>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</si>
  <si>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</si>
  <si>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</si>
  <si>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</si>
  <si>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</si>
  <si>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</si>
  <si>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</si>
  <si>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</si>
  <si>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</si>
  <si>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</si>
  <si>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</si>
  <si>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</si>
  <si>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</si>
  <si>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</si>
  <si>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</si>
  <si>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</si>
  <si>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</si>
  <si>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</si>
  <si>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</si>
  <si>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</si>
  <si>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</si>
  <si>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</si>
  <si>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</si>
  <si>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</si>
  <si>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</si>
  <si>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</si>
  <si>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</si>
  <si>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</si>
  <si>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</si>
  <si>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</si>
  <si>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</si>
  <si>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</si>
  <si>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</si>
  <si>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</si>
  <si>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</si>
  <si>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</si>
  <si>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</si>
  <si>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</si>
  <si>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</si>
  <si>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</si>
  <si>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</si>
  <si>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</si>
  <si>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</si>
  <si>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</si>
  <si>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</si>
  <si>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</si>
  <si>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</si>
  <si>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</si>
  <si>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</si>
  <si>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</si>
  <si>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</si>
  <si>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</si>
  <si>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</si>
  <si>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</si>
  <si>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</si>
  <si>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</si>
  <si>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</si>
  <si>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</si>
  <si>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</si>
  <si>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</si>
  <si>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</si>
  <si>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</si>
  <si>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</si>
  <si>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</si>
  <si>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</si>
  <si>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</si>
  <si>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</si>
  <si>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</si>
  <si>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</si>
  <si>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</si>
  <si>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</si>
  <si>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</si>
  <si>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</si>
  <si>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</si>
  <si>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</si>
  <si>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</si>
  <si>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</si>
  <si>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</si>
  <si>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</si>
  <si>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</si>
  <si>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</si>
  <si>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</si>
  <si>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</si>
  <si>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</si>
  <si>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</si>
  <si>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</si>
  <si>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</si>
  <si>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</si>
  <si>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</si>
  <si>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</si>
  <si>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</si>
  <si>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</si>
  <si>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</si>
  <si>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</si>
  <si>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</si>
  <si>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</si>
  <si>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</si>
  <si>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</si>
  <si>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</si>
  <si>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</si>
  <si>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</si>
  <si>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</si>
  <si>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</si>
  <si>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</si>
  <si>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</si>
  <si>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</si>
  <si>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</si>
  <si>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</si>
  <si>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</si>
  <si>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</si>
  <si>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</si>
  <si>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</si>
  <si>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</si>
  <si>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</si>
  <si>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</si>
  <si>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</si>
  <si>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</si>
  <si>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</si>
  <si>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</si>
  <si>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</si>
  <si>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</si>
  <si>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</si>
  <si>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</si>
  <si>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</si>
  <si>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</si>
  <si>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</si>
  <si>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</si>
  <si>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</si>
  <si>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</si>
  <si>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</si>
  <si>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</si>
  <si>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</si>
  <si>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</si>
  <si>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</si>
  <si>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</si>
  <si>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</si>
  <si>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</si>
  <si>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</si>
  <si>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</si>
  <si>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</si>
  <si>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</si>
  <si>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</si>
  <si>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</si>
  <si>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</si>
  <si>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</si>
  <si>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</si>
  <si>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</si>
  <si>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</si>
  <si>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</si>
  <si>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</si>
  <si>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</si>
  <si>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</si>
  <si>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</si>
  <si>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</si>
  <si>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</si>
  <si>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</si>
  <si>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</si>
  <si>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</si>
  <si>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</si>
  <si>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</si>
  <si>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4571015#1</t>
  </si>
  <si>
    <t>Ceciliademadonna</t>
  </si>
  <si>
    <t>4478992#1</t>
  </si>
  <si>
    <t>Jvconstructor</t>
  </si>
  <si>
    <t>4448312#1</t>
  </si>
  <si>
    <t>Lagunasnorte</t>
  </si>
  <si>
    <t>4504033#1</t>
  </si>
  <si>
    <t>Probela La Molina</t>
  </si>
  <si>
    <t>1840584#1</t>
  </si>
  <si>
    <t>Trucks tract USA</t>
  </si>
  <si>
    <t>4488759#1</t>
  </si>
  <si>
    <t>Assaabloy</t>
  </si>
  <si>
    <t>4570145#1</t>
  </si>
  <si>
    <t>Bavikon</t>
  </si>
  <si>
    <t>4448993#1</t>
  </si>
  <si>
    <t>GRUPO MOLICOM</t>
  </si>
  <si>
    <t>441299#4</t>
  </si>
  <si>
    <t>maquiprocesos</t>
  </si>
  <si>
    <t>2446667#2</t>
  </si>
  <si>
    <t>Industrias Altos Sociedad Anonima Cerrada</t>
  </si>
  <si>
    <t>4294850#1</t>
  </si>
  <si>
    <t>INTEGRA RETAIL</t>
  </si>
  <si>
    <t>4546586#1</t>
  </si>
  <si>
    <t>Kaizen360pe</t>
  </si>
  <si>
    <t>2145417#1</t>
  </si>
  <si>
    <t>Ultramodular</t>
  </si>
  <si>
    <t>878469#1</t>
  </si>
  <si>
    <t>Miranda Arquitectos</t>
  </si>
  <si>
    <t>4615441#1</t>
  </si>
  <si>
    <t>Prodemco</t>
  </si>
  <si>
    <t>1714541#1</t>
  </si>
  <si>
    <t>Thomasjefferson</t>
  </si>
  <si>
    <t>4609791#1</t>
  </si>
  <si>
    <t>Wave Arquitectura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</si>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</sst>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c2f5c0ae-0697-4fd1-a529-16941471d58a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</sharedItems>
    </cacheField>
    <cacheField name="Investigator" numFmtId="0">
      <sharedItems containsBlank="1">
        <s v="Francisco"/>
        <s v="Maria Celeste"/>
        <s v="Noel"/>
        <s v="Antonel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c2f5c0ae-0697-4fd1-a529-16941471d58a}" id="{cba3269f-95b6-4772-b172-dd26211eef2f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12</v>
      </c>
      <c r="F19" s="246">
        <f t="shared" ref="F19:F21" si="1">C19-E19</f>
        <v>18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14</v>
      </c>
      <c r="L19" s="33">
        <f t="shared" ref="L19:L23" si="2">I19-K19</f>
        <v>-9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</v>
      </c>
      <c r="F20" s="246">
        <f t="shared" si="1"/>
        <v>14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4</v>
      </c>
      <c r="F21" s="246">
        <f t="shared" si="1"/>
        <v>11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6</v>
      </c>
      <c r="L21" s="33">
        <f t="shared" si="2"/>
        <v>14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17</v>
      </c>
      <c r="L22" s="33">
        <f t="shared" si="2"/>
        <v>-2</v>
      </c>
    </row>
    <row r="23" outlineLevel="1">
      <c r="D23" s="10"/>
      <c r="E23" s="37" t="s">
        <v>41</v>
      </c>
      <c r="F23" s="38">
        <f>SUM(F19:F21)</f>
        <v>43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3</v>
      </c>
      <c r="L23" s="33">
        <f t="shared" si="2"/>
        <v>7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16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98"/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98"/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 t="s">
        <v>22</v>
      </c>
      <c r="F16" s="402" t="s">
        <v>2344</v>
      </c>
      <c r="G16" s="61"/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98"/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98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109"/>
      <c r="D18" s="373"/>
      <c r="E18" s="58" t="s">
        <v>22</v>
      </c>
      <c r="F18" s="58" t="s">
        <v>2344</v>
      </c>
      <c r="G18" s="61"/>
      <c r="H18" s="269"/>
      <c r="J18" s="382">
        <v>46174.0</v>
      </c>
      <c r="K18" s="273" t="s">
        <v>3734</v>
      </c>
      <c r="L18" s="273" t="s">
        <v>3735</v>
      </c>
      <c r="M18" s="399" t="s">
        <v>11</v>
      </c>
      <c r="N18" s="410" t="s">
        <v>2338</v>
      </c>
      <c r="O18" s="61"/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109"/>
      <c r="D19" s="373"/>
      <c r="E19" s="58"/>
      <c r="F19" s="344"/>
      <c r="G19" s="61"/>
      <c r="H19" s="269"/>
      <c r="J19" s="380">
        <v>46174.0</v>
      </c>
      <c r="K19" s="294" t="s">
        <v>3736</v>
      </c>
      <c r="L19" s="294" t="s">
        <v>3737</v>
      </c>
      <c r="M19" s="441" t="s">
        <v>23</v>
      </c>
      <c r="N19" s="404" t="s">
        <v>2338</v>
      </c>
      <c r="O19" s="109"/>
      <c r="P19" s="298"/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109"/>
      <c r="D20" s="373"/>
      <c r="E20" s="58"/>
      <c r="F20" s="344"/>
      <c r="G20" s="61"/>
      <c r="H20" s="269"/>
      <c r="J20" s="382">
        <v>46174.0</v>
      </c>
      <c r="K20" s="273" t="s">
        <v>3738</v>
      </c>
      <c r="L20" s="273" t="s">
        <v>3739</v>
      </c>
      <c r="M20" s="399" t="s">
        <v>23</v>
      </c>
      <c r="N20" s="274" t="s">
        <v>2338</v>
      </c>
      <c r="O20" s="61"/>
      <c r="P20" s="298"/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109"/>
      <c r="D21" s="373"/>
      <c r="E21" s="58"/>
      <c r="F21" s="344"/>
      <c r="G21" s="61"/>
      <c r="H21" s="269"/>
      <c r="J21" s="380">
        <v>46174.0</v>
      </c>
      <c r="K21" s="294" t="s">
        <v>3740</v>
      </c>
      <c r="L21" s="294" t="s">
        <v>3741</v>
      </c>
      <c r="M21" s="441" t="s">
        <v>23</v>
      </c>
      <c r="N21" s="406" t="s">
        <v>2338</v>
      </c>
      <c r="O21" s="61"/>
      <c r="P21" s="298"/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46175.0</v>
      </c>
      <c r="C22" s="109"/>
      <c r="D22" s="373"/>
      <c r="E22" s="58"/>
      <c r="F22" s="344"/>
      <c r="G22" s="61"/>
      <c r="H22" s="269"/>
      <c r="J22" s="382">
        <v>46174.0</v>
      </c>
      <c r="K22" s="273" t="s">
        <v>3742</v>
      </c>
      <c r="L22" s="273" t="s">
        <v>3743</v>
      </c>
      <c r="M22" s="274" t="s">
        <v>23</v>
      </c>
      <c r="N22" s="274" t="s">
        <v>2338</v>
      </c>
      <c r="O22" s="61"/>
      <c r="P22" s="298"/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/>
      <c r="C23" s="109"/>
      <c r="D23" s="373"/>
      <c r="E23" s="58"/>
      <c r="F23" s="344"/>
      <c r="G23" s="61"/>
      <c r="H23" s="269"/>
      <c r="J23" s="403">
        <v>46175.0</v>
      </c>
      <c r="K23" s="294" t="s">
        <v>3744</v>
      </c>
      <c r="L23" s="294" t="s">
        <v>3745</v>
      </c>
      <c r="M23" s="391" t="s">
        <v>23</v>
      </c>
      <c r="N23" s="391" t="s">
        <v>2337</v>
      </c>
      <c r="O23" s="61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344"/>
      <c r="G24" s="109"/>
      <c r="H24" s="269"/>
      <c r="J24" s="401">
        <v>46175.0</v>
      </c>
      <c r="K24" s="273" t="s">
        <v>3746</v>
      </c>
      <c r="L24" s="273" t="s">
        <v>3747</v>
      </c>
      <c r="M24" s="402" t="s">
        <v>27</v>
      </c>
      <c r="N24" s="402" t="s">
        <v>2337</v>
      </c>
      <c r="O24" s="109"/>
      <c r="P24" s="269"/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344"/>
      <c r="G25" s="61"/>
      <c r="H25" s="269"/>
      <c r="J25" s="403">
        <v>46175.0</v>
      </c>
      <c r="K25" s="294" t="s">
        <v>3748</v>
      </c>
      <c r="L25" s="294" t="s">
        <v>3749</v>
      </c>
      <c r="M25" s="391" t="s">
        <v>23</v>
      </c>
      <c r="N25" s="391" t="s">
        <v>2337</v>
      </c>
      <c r="O25" s="61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344"/>
      <c r="G26" s="61"/>
      <c r="H26" s="269"/>
      <c r="J26" s="401">
        <v>46175.0</v>
      </c>
      <c r="K26" s="273" t="s">
        <v>3750</v>
      </c>
      <c r="L26" s="273" t="s">
        <v>3751</v>
      </c>
      <c r="M26" s="402" t="s">
        <v>23</v>
      </c>
      <c r="N26" s="402" t="s">
        <v>2337</v>
      </c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344"/>
      <c r="G27" s="61"/>
      <c r="H27" s="269"/>
      <c r="J27" s="403">
        <v>46175.0</v>
      </c>
      <c r="K27" s="294" t="s">
        <v>3752</v>
      </c>
      <c r="L27" s="294" t="s">
        <v>3753</v>
      </c>
      <c r="M27" s="391" t="s">
        <v>23</v>
      </c>
      <c r="N27" s="391" t="s">
        <v>2337</v>
      </c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344"/>
      <c r="G28" s="61"/>
      <c r="H28" s="269"/>
      <c r="J28" s="401">
        <v>46175.0</v>
      </c>
      <c r="K28" s="273" t="s">
        <v>3754</v>
      </c>
      <c r="L28" s="273" t="s">
        <v>3755</v>
      </c>
      <c r="M28" s="402" t="s">
        <v>23</v>
      </c>
      <c r="N28" s="402" t="s">
        <v>2337</v>
      </c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78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344"/>
      <c r="G29" s="61"/>
      <c r="H29" s="269"/>
      <c r="J29" s="403">
        <v>46175.0</v>
      </c>
      <c r="K29" s="294" t="s">
        <v>3756</v>
      </c>
      <c r="L29" s="294" t="s">
        <v>3757</v>
      </c>
      <c r="M29" s="391" t="s">
        <v>23</v>
      </c>
      <c r="N29" s="391" t="s">
        <v>2337</v>
      </c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344"/>
      <c r="G30" s="109"/>
      <c r="H30" s="269"/>
      <c r="J30" s="401">
        <v>46175.0</v>
      </c>
      <c r="K30" s="273" t="s">
        <v>3758</v>
      </c>
      <c r="L30" s="273" t="s">
        <v>3759</v>
      </c>
      <c r="M30" s="402" t="s">
        <v>23</v>
      </c>
      <c r="N30" s="402" t="s">
        <v>2337</v>
      </c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79"/>
      <c r="AV30" s="298"/>
      <c r="AX30" s="270"/>
      <c r="AY30" s="453"/>
      <c r="AZ30" s="478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344"/>
      <c r="G31" s="61"/>
      <c r="H31" s="269"/>
      <c r="J31" s="382">
        <v>46175.0</v>
      </c>
      <c r="K31" s="273" t="s">
        <v>3760</v>
      </c>
      <c r="L31" s="273" t="s">
        <v>3761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0"/>
      <c r="AV31" s="269"/>
      <c r="AX31" s="270"/>
      <c r="AY31" s="450"/>
      <c r="AZ31" s="47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344"/>
      <c r="G32" s="61"/>
      <c r="H32" s="269"/>
      <c r="J32" s="380">
        <v>46175.0</v>
      </c>
      <c r="K32" s="294" t="s">
        <v>3762</v>
      </c>
      <c r="L32" s="294" t="s">
        <v>3763</v>
      </c>
      <c r="M32" s="396" t="s">
        <v>23</v>
      </c>
      <c r="N32" s="391" t="s">
        <v>2338</v>
      </c>
      <c r="O32" s="61"/>
      <c r="P32" s="269"/>
      <c r="R32" s="270"/>
      <c r="S32" s="384"/>
      <c r="T32" s="439"/>
      <c r="U32" s="58"/>
      <c r="V32" s="58"/>
      <c r="W32" s="61"/>
      <c r="X32" s="269"/>
      <c r="Z32" s="481"/>
      <c r="AA32" s="482"/>
      <c r="AB32" s="483"/>
      <c r="AC32" s="484"/>
      <c r="AD32" s="485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78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344"/>
      <c r="G33" s="109"/>
      <c r="H33" s="269"/>
      <c r="J33" s="382">
        <v>46175.0</v>
      </c>
      <c r="K33" s="273" t="s">
        <v>3764</v>
      </c>
      <c r="L33" s="273" t="s">
        <v>3765</v>
      </c>
      <c r="M33" s="398" t="s">
        <v>23</v>
      </c>
      <c r="N33" s="431" t="s">
        <v>2338</v>
      </c>
      <c r="O33" s="61"/>
      <c r="P33" s="269"/>
      <c r="R33" s="270"/>
      <c r="S33" s="384"/>
      <c r="T33" s="486"/>
      <c r="U33" s="58"/>
      <c r="V33" s="58"/>
      <c r="W33" s="61"/>
      <c r="X33" s="269"/>
      <c r="Z33" s="481"/>
      <c r="AA33" s="482"/>
      <c r="AB33" s="482"/>
      <c r="AC33" s="487"/>
      <c r="AD33" s="488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89"/>
      <c r="AV33" s="298"/>
      <c r="AX33" s="270"/>
      <c r="AY33" s="450"/>
      <c r="AZ33" s="47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344"/>
      <c r="G34" s="61"/>
      <c r="H34" s="269"/>
      <c r="J34" s="380">
        <v>46175.0</v>
      </c>
      <c r="K34" s="294" t="s">
        <v>3766</v>
      </c>
      <c r="L34" s="294" t="s">
        <v>3767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78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344"/>
      <c r="G35" s="61"/>
      <c r="H35" s="269"/>
      <c r="J35" s="382">
        <v>46175.0</v>
      </c>
      <c r="K35" s="273" t="s">
        <v>3768</v>
      </c>
      <c r="L35" s="273" t="s">
        <v>3769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3770</v>
      </c>
      <c r="L36" s="294" t="s">
        <v>3771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78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3772</v>
      </c>
      <c r="L37" s="109" t="s">
        <v>3773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3774</v>
      </c>
      <c r="L38" s="109" t="s">
        <v>3775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78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3776</v>
      </c>
      <c r="L39" s="109" t="s">
        <v>3777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7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3778</v>
      </c>
      <c r="L40" s="109" t="s">
        <v>3779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78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3780</v>
      </c>
      <c r="L41" s="109" t="s">
        <v>3781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7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3782</v>
      </c>
      <c r="L42" s="109" t="s">
        <v>3783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78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3784</v>
      </c>
      <c r="L43" s="109" t="s">
        <v>3785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3786</v>
      </c>
      <c r="L44" s="109" t="s">
        <v>3787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3788</v>
      </c>
      <c r="L45" s="109" t="s">
        <v>3789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0"/>
      <c r="AI49" s="453"/>
      <c r="AJ49" s="453"/>
      <c r="AK49" s="469"/>
      <c r="AL49" s="455"/>
      <c r="AM49" s="61"/>
      <c r="AN49" s="269"/>
      <c r="AP49" s="449"/>
      <c r="AQ49" s="450"/>
      <c r="AR49" s="483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1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0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1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2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6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3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4"/>
      <c r="AA83" s="483"/>
      <c r="AB83" s="483"/>
      <c r="AC83" s="495"/>
      <c r="AD83" s="496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3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3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49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