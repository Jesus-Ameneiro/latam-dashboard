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tc={0925e5a4-b9bf-45af-ad9d-b5a2032bd51a}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0925e5a4-b9bf-45af-ad9d-b5a2032bd51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<sst xmlns="http://schemas.openxmlformats.org/spreadsheetml/2006/main" count="8529" uniqueCount="3796">
  <si>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</si>
  <si>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</si>
  <si>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</si>
  <si>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</si>
  <si>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</si>
  <si>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</si>
  <si>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</si>
  <si>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</si>
  <si>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</si>
  <si>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</si>
  <si>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</si>
  <si>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</si>
  <si>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</si>
  <si>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</si>
  <si>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</si>
  <si>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</si>
  <si>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</si>
  <si>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</si>
  <si>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</si>
  <si>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</si>
  <si>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</si>
  <si>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</si>
  <si>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</si>
  <si>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</si>
  <si>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</si>
  <si>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</si>
  <si>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</si>
  <si>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</si>
  <si>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</si>
  <si>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</si>
  <si>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</si>
  <si>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</si>
  <si>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</si>
  <si>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</si>
  <si>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</si>
  <si>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</si>
  <si>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</si>
  <si>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</si>
  <si>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</si>
  <si>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</si>
  <si>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</si>
  <si>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</si>
  <si>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</si>
  <si>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</si>
  <si>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</si>
  <si>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</si>
  <si>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</si>
  <si>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</si>
  <si>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</si>
  <si>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</si>
  <si>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</si>
  <si>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</si>
  <si>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</si>
  <si>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</si>
  <si>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</si>
  <si>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</si>
  <si>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</si>
  <si>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</si>
  <si>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</si>
  <si>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</si>
  <si>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</si>
  <si>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</si>
  <si>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</si>
  <si>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</si>
  <si>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</si>
  <si>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</si>
  <si>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</si>
  <si>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</si>
  <si>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</si>
  <si>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</si>
  <si>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</si>
  <si>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</si>
  <si>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</si>
  <si>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</si>
  <si>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</si>
  <si>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</si>
  <si>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</si>
  <si>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</si>
  <si>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</si>
  <si>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</si>
  <si>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</si>
  <si>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</si>
  <si>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</si>
  <si>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</si>
  <si>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</si>
  <si>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</si>
  <si>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</si>
  <si>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</si>
  <si>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</si>
  <si>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</si>
  <si>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</si>
  <si>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</si>
  <si>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</si>
  <si>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</si>
  <si>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</si>
  <si>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</si>
  <si>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</si>
  <si>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</si>
  <si>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</si>
  <si>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</si>
  <si>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</si>
  <si>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</si>
  <si>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</si>
  <si>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</si>
  <si>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</si>
  <si>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</si>
  <si>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</si>
  <si>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</si>
  <si>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</si>
  <si>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</si>
  <si>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</si>
  <si>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</si>
  <si>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</si>
  <si>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</si>
  <si>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</si>
  <si>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</si>
  <si>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</si>
  <si>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</si>
  <si>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</si>
  <si>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</si>
  <si>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</si>
  <si>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</si>
  <si>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</si>
  <si>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</si>
  <si>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</si>
  <si>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</si>
  <si>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</si>
  <si>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</si>
  <si>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</si>
  <si>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</si>
  <si>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</si>
  <si>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</si>
  <si>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</si>
  <si>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</si>
  <si>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</si>
  <si>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</si>
  <si>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</si>
  <si>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</si>
  <si>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</si>
  <si>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</si>
  <si>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</si>
  <si>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</si>
  <si>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</si>
  <si>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</si>
  <si>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</si>
  <si>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</si>
  <si>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</si>
  <si>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</si>
  <si>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</si>
  <si>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</si>
  <si>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</si>
  <si>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</si>
  <si>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</si>
  <si>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</si>
  <si>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</si>
  <si>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</si>
  <si>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</si>
  <si>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</si>
  <si>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</si>
  <si>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</si>
  <si>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</si>
  <si>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</si>
  <si>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</si>
  <si>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</si>
  <si>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</si>
  <si>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</si>
  <si>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</si>
  <si>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</si>
  <si>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</si>
  <si>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</si>
  <si>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</si>
  <si>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</si>
  <si>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</si>
  <si>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</si>
  <si>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</si>
  <si>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</si>
  <si>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</si>
  <si>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</si>
  <si>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</si>
  <si>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</si>
  <si>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</si>
  <si>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</si>
  <si>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</si>
  <si>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</si>
  <si>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</si>
  <si>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</si>
  <si>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</si>
  <si>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</si>
  <si>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</si>
  <si>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</si>
  <si>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</si>
  <si>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</si>
  <si>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</si>
  <si>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</si>
  <si>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</si>
  <si>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</si>
  <si>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</si>
  <si>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</si>
  <si>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</si>
  <si>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</si>
  <si>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</si>
  <si>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</si>
  <si>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</si>
  <si>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</si>
  <si>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</si>
  <si>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</si>
  <si>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</si>
  <si>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</si>
  <si>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</si>
  <si>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</si>
  <si>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</si>
  <si>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</si>
  <si>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</si>
  <si>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</si>
  <si>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</si>
  <si>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</si>
  <si>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</si>
  <si>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</si>
  <si>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</si>
  <si>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</si>
  <si>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</si>
  <si>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</si>
  <si>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</si>
  <si>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</si>
  <si>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</si>
  <si>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</si>
  <si>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</si>
  <si>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</si>
  <si>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</si>
  <si>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</si>
  <si>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</si>
  <si>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</si>
  <si>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</si>
  <si>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</si>
  <si>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</si>
  <si>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</si>
  <si>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</si>
  <si>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</si>
  <si>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</si>
  <si>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</si>
  <si>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</si>
  <si>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</si>
  <si>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</si>
  <si>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</si>
  <si>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</si>
  <si>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</si>
  <si>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</si>
  <si>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</si>
  <si>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</si>
  <si>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</si>
  <si>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</si>
  <si>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</si>
  <si>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</si>
  <si>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</si>
  <si>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</si>
  <si>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</si>
  <si>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</si>
  <si>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</si>
  <si>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</si>
  <si>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</si>
  <si>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</si>
  <si>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</si>
  <si>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</si>
  <si>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</si>
  <si>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</si>
  <si>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</si>
  <si>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</si>
  <si>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</si>
  <si>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</si>
  <si>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</si>
  <si>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</si>
  <si>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</si>
  <si>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</si>
  <si>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</si>
  <si>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</si>
  <si>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</si>
  <si>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</si>
  <si>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</si>
  <si>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</si>
  <si>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</si>
  <si>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</si>
  <si>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</si>
  <si>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</si>
  <si>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</si>
  <si>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</si>
  <si>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</si>
  <si>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</si>
  <si>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</si>
  <si>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</si>
  <si>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</si>
  <si>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</si>
  <si>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</si>
  <si>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</si>
  <si>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</si>
  <si>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</si>
  <si>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</si>
  <si>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</si>
  <si>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</si>
  <si>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</si>
  <si>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</si>
  <si>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</si>
  <si>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</si>
  <si>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</si>
  <si>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</si>
  <si>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</si>
  <si>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</si>
  <si>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</si>
  <si>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</si>
  <si>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</si>
  <si>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</si>
  <si>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</si>
  <si>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</si>
  <si>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</si>
  <si>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</si>
  <si>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</si>
  <si>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</si>
  <si>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</si>
  <si>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</si>
  <si>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</si>
  <si>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</si>
  <si>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</si>
  <si>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</si>
  <si>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</si>
  <si>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</si>
  <si>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</si>
  <si>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</si>
  <si>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</si>
  <si>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</si>
  <si>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</si>
  <si>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</si>
  <si>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</si>
  <si>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</si>
  <si>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</si>
  <si>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</si>
  <si>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</si>
  <si>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</si>
  <si>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</si>
  <si>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</si>
  <si>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</si>
  <si>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</si>
  <si>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</si>
  <si>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</si>
  <si>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</si>
  <si>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</si>
  <si>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</si>
  <si>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</si>
  <si>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</si>
  <si>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</si>
  <si>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</si>
  <si>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</si>
  <si>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</si>
  <si>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</si>
  <si>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</si>
  <si>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</si>
  <si>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</si>
  <si>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</si>
  <si>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</si>
  <si>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</si>
  <si>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</si>
  <si>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</si>
  <si>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</si>
  <si>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</si>
  <si>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</si>
  <si>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</si>
  <si>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</si>
  <si>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</si>
  <si>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</si>
  <si>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</si>
  <si>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</si>
  <si>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</si>
  <si>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</si>
  <si>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</si>
  <si>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</si>
  <si>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</si>
  <si>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</si>
  <si>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</si>
  <si>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</si>
  <si>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</si>
  <si>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</si>
  <si>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</si>
  <si>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</si>
  <si>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</si>
  <si>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</si>
  <si>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</si>
  <si>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</si>
  <si>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</si>
  <si>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</si>
  <si>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</si>
  <si>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</si>
  <si>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</si>
  <si>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</si>
  <si>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</si>
  <si>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</si>
  <si>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</si>
  <si>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</si>
  <si>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</si>
  <si>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</si>
  <si>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</si>
  <si>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</si>
  <si>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</si>
  <si>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</si>
  <si>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</si>
  <si>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</si>
  <si>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</si>
  <si>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</si>
  <si>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</si>
  <si>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</si>
  <si>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</si>
  <si>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</si>
  <si>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</si>
  <si>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</si>
  <si>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</si>
  <si>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</si>
  <si>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</si>
  <si>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</si>
  <si>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</si>
  <si>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</si>
  <si>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</si>
  <si>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</si>
  <si>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</si>
  <si>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</si>
  <si>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</si>
  <si>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</si>
  <si>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</si>
  <si>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</si>
  <si>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</si>
  <si>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</si>
  <si>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</si>
  <si>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</si>
  <si>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</si>
  <si>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</si>
  <si>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</si>
  <si>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</si>
  <si>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</si>
  <si>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</si>
  <si>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</si>
  <si>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</si>
  <si>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</si>
  <si>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</si>
  <si>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</si>
  <si>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</si>
  <si>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</si>
  <si>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</si>
  <si>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</si>
  <si>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</si>
  <si>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</si>
  <si>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</si>
  <si>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</si>
  <si>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</si>
  <si>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</si>
  <si>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</si>
  <si>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</si>
  <si>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</si>
  <si>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</si>
  <si>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</si>
  <si>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</si>
  <si>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</si>
  <si>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</si>
  <si>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</si>
  <si>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</si>
  <si>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</si>
  <si>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</si>
  <si>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</si>
  <si>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</si>
  <si>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</si>
  <si>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</si>
  <si>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</si>
  <si>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</si>
  <si>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</si>
  <si>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</si>
  <si>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</si>
  <si>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</si>
  <si>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</si>
  <si>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</si>
  <si>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</si>
  <si>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</si>
  <si>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</si>
  <si>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</si>
  <si>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</si>
  <si>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</si>
  <si>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</si>
  <si>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</si>
  <si>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</si>
  <si>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</si>
  <si>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</si>
  <si>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</si>
  <si>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</si>
  <si>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</si>
  <si>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</si>
  <si>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</si>
  <si>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</si>
  <si>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</si>
  <si>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</si>
  <si>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</si>
  <si>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</si>
  <si>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</si>
  <si>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</si>
  <si>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</si>
  <si>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</si>
  <si>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</si>
  <si>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</si>
  <si>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</si>
  <si>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</si>
  <si>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</si>
  <si>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</si>
  <si>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</si>
  <si>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</si>
  <si>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</si>
  <si>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</si>
  <si>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</si>
  <si>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</si>
  <si>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</si>
  <si>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</si>
  <si>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</si>
  <si>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</si>
  <si>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</si>
  <si>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</si>
  <si>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</si>
  <si>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</si>
  <si>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</si>
  <si>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</si>
  <si>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</si>
  <si>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</si>
  <si>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</si>
  <si>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</si>
  <si>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</si>
  <si>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</si>
  <si>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</si>
  <si>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</si>
  <si>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</si>
  <si>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</si>
  <si>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</si>
  <si>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</si>
  <si>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</si>
  <si>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</si>
  <si>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</si>
  <si>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</si>
  <si>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</si>
  <si>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</si>
  <si>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</si>
  <si>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</si>
  <si>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</si>
  <si>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</si>
  <si>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</si>
  <si>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</si>
  <si>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</si>
  <si>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</si>
  <si>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</si>
  <si>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</si>
  <si>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</si>
  <si>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</si>
  <si>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</si>
  <si>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</si>
  <si>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</si>
  <si>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</si>
  <si>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</si>
  <si>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</si>
  <si>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</si>
  <si>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</si>
  <si>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</si>
  <si>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</si>
  <si>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</si>
  <si>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</si>
  <si>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</si>
  <si>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</si>
  <si>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</si>
  <si>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</si>
  <si>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</si>
  <si>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</si>
  <si>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</si>
  <si>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</si>
  <si>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</si>
  <si>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</si>
  <si>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</si>
  <si>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</si>
  <si>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</si>
  <si>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</si>
  <si>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</si>
  <si>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</si>
  <si>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</si>
  <si>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</si>
  <si>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</si>
  <si>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</si>
  <si>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</si>
  <si>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</si>
  <si>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</si>
  <si>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</si>
  <si>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</si>
  <si>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</si>
  <si>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</si>
  <si>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</si>
  <si>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</si>
  <si>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</si>
  <si>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</si>
  <si>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</si>
  <si>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</si>
  <si>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</si>
  <si>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</si>
  <si>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</si>
  <si>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</si>
  <si>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</si>
  <si>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</si>
  <si>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</si>
  <si>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</si>
  <si>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</si>
  <si>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</si>
  <si>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</si>
  <si>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</si>
  <si>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</si>
  <si>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</si>
  <si>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</si>
  <si>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</si>
  <si>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</si>
  <si>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</si>
  <si>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</si>
  <si>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</si>
  <si>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</si>
  <si>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</si>
  <si>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</si>
  <si>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</si>
  <si>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</si>
  <si>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</si>
  <si>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</si>
  <si>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</si>
  <si>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</si>
  <si>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</si>
  <si>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</si>
  <si>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</si>
  <si>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</si>
  <si>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</si>
  <si>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</si>
  <si>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</si>
  <si>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</si>
  <si>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</si>
  <si>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</si>
  <si>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</si>
  <si>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</si>
  <si>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</si>
  <si>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</si>
  <si>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</si>
  <si>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</si>
  <si>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</si>
  <si>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</si>
  <si>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</si>
  <si>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</si>
  <si>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</si>
  <si>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</si>
  <si>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</si>
  <si>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</si>
  <si>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</si>
  <si>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</si>
  <si>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</si>
  <si>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</si>
  <si>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</si>
  <si>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</si>
  <si>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</si>
  <si>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</si>
  <si>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</si>
  <si>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</si>
  <si>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</si>
  <si>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</si>
  <si>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</si>
  <si>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</si>
  <si>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</si>
  <si>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</si>
  <si>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</si>
  <si>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</si>
  <si>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</si>
  <si>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</si>
  <si>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</si>
  <si>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</si>
  <si>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</si>
  <si>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</si>
  <si>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</si>
  <si>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</si>
  <si>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</si>
  <si>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</si>
  <si>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</si>
  <si>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</si>
  <si>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</si>
  <si>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</si>
  <si>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</si>
  <si>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</si>
  <si>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</si>
  <si>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</si>
  <si>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</si>
  <si>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</si>
  <si>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</si>
  <si>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</si>
  <si>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</si>
  <si>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</si>
  <si>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</si>
  <si>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</si>
  <si>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</si>
  <si>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</si>
  <si>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</si>
  <si>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</si>
  <si>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</si>
  <si>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</si>
  <si>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</si>
  <si>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</si>
  <si>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</si>
  <si>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</si>
  <si>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</si>
  <si>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</si>
  <si>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</si>
  <si>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</si>
  <si>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</si>
  <si>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</si>
  <si>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</si>
  <si>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</si>
  <si>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</si>
  <si>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</si>
  <si>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</si>
  <si>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</si>
  <si>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</si>
  <si>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</si>
  <si>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</si>
  <si>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</si>
  <si>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</si>
  <si>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</si>
  <si>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</si>
  <si>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</si>
  <si>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</si>
  <si>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</si>
  <si>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</si>
  <si>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</si>
  <si>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</si>
  <si>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</si>
  <si>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</si>
  <si>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</si>
  <si>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</si>
  <si>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</si>
  <si>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</si>
  <si>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</si>
  <si>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</si>
  <si>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</si>
  <si>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</si>
  <si>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</si>
  <si>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</si>
  <si>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</si>
  <si>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</si>
  <si>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</si>
  <si>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</si>
  <si>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</si>
  <si>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</si>
  <si>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</si>
  <si>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</si>
  <si>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</si>
  <si>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</si>
  <si>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</si>
  <si>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</si>
  <si>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</si>
  <si>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</si>
  <si>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</si>
  <si>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</si>
  <si>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</si>
  <si>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</si>
  <si>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</si>
  <si>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</si>
  <si>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</si>
  <si>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</si>
  <si>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</si>
  <si>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</si>
  <si>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</si>
  <si>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</si>
  <si>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</si>
  <si>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</si>
  <si>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</si>
  <si>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</si>
  <si>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</si>
  <si>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</si>
  <si>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</si>
  <si>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</si>
  <si>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</si>
  <si>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</si>
  <si>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</si>
  <si>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</si>
  <si>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</si>
  <si>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</si>
  <si>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</si>
  <si>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</si>
  <si>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</si>
  <si>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</si>
  <si>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</si>
  <si>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</si>
  <si>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</si>
  <si>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</si>
  <si>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</si>
  <si>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</si>
  <si>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</si>
  <si>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</si>
  <si>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</si>
  <si>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</si>
  <si>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</si>
  <si>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</si>
  <si>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</si>
  <si>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</si>
  <si>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</si>
  <si>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</si>
  <si>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</si>
  <si>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</si>
  <si>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</si>
  <si>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</si>
  <si>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</si>
  <si>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</si>
  <si>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</si>
  <si>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</si>
  <si>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</si>
  <si>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</si>
  <si>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</si>
  <si>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</si>
  <si>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</si>
  <si>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</si>
  <si>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</si>
  <si>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</si>
  <si>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</si>
  <si>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</si>
  <si>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</si>
  <si>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</si>
  <si>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</si>
  <si>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</si>
  <si>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</si>
  <si>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</si>
  <si>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</si>
  <si>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</si>
  <si>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</si>
  <si>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</si>
  <si>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</si>
  <si>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</si>
  <si>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</si>
  <si>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</si>
  <si>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</si>
  <si>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</si>
  <si>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</si>
  <si>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</si>
  <si>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</si>
  <si>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</si>
  <si>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</si>
  <si>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</si>
  <si>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</si>
  <si>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</si>
  <si>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</si>
  <si>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</si>
  <si>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</si>
  <si>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</si>
  <si>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</si>
  <si>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</si>
  <si>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</si>
  <si>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</si>
  <si>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</si>
  <si>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</si>
  <si>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</si>
  <si>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</si>
  <si>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</si>
  <si>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</si>
  <si>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</si>
  <si>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</si>
  <si>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</si>
  <si>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</si>
  <si>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</si>
  <si>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</si>
  <si>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</si>
  <si>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</si>
  <si>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</si>
  <si>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</si>
  <si>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</si>
  <si>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</si>
  <si>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</si>
  <si>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</si>
  <si>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</si>
  <si>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</si>
  <si>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</si>
  <si>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</si>
  <si>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</si>
  <si>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</si>
  <si>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</si>
  <si>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</si>
  <si>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</si>
  <si>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</si>
  <si>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</si>
  <si>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</si>
  <si>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</si>
  <si>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</si>
  <si>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</si>
  <si>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</si>
  <si>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</si>
  <si>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</si>
  <si>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</si>
  <si>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</si>
  <si>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</si>
  <si>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</si>
  <si>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</si>
  <si>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</si>
  <si>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</si>
  <si>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</si>
  <si>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</si>
  <si>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</si>
  <si>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</si>
  <si>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</si>
  <si>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</si>
  <si>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</si>
  <si>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</si>
  <si>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</si>
  <si>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</si>
  <si>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</si>
  <si>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</si>
  <si>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</si>
  <si>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</si>
  <si>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</si>
  <si>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</si>
  <si>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</si>
  <si>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</si>
  <si>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</si>
  <si>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</si>
  <si>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</si>
  <si>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</si>
  <si>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</si>
  <si>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</si>
  <si>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</si>
  <si>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</si>
  <si>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</si>
  <si>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</si>
  <si>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</si>
  <si>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</si>
  <si>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</si>
  <si>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</si>
  <si>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</si>
  <si>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</si>
  <si>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</si>
  <si>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</si>
  <si>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</si>
  <si>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</si>
  <si>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</si>
  <si>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</si>
  <si>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</si>
  <si>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</si>
  <si>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</si>
  <si>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</si>
  <si>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</si>
  <si>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</si>
  <si>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</si>
  <si>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</si>
  <si>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</si>
  <si>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</si>
  <si>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</si>
  <si>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</si>
  <si>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</si>
  <si>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</si>
  <si>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</si>
  <si>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</si>
  <si>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</si>
  <si>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</si>
  <si>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</si>
  <si>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</si>
  <si>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</si>
  <si>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</si>
  <si>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</si>
  <si>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</si>
  <si>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</si>
  <si>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</si>
  <si>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</si>
  <si>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</si>
  <si>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</si>
  <si>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</si>
  <si>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</si>
  <si>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</si>
  <si>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</si>
  <si>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</si>
  <si>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</si>
  <si>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</si>
  <si>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</si>
  <si>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</si>
  <si>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</si>
  <si>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</si>
  <si>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</si>
  <si>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</si>
  <si>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</si>
  <si>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</si>
  <si>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</si>
  <si>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</si>
  <si>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</si>
  <si>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</si>
  <si>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</si>
  <si>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</si>
  <si>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</si>
  <si>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</si>
  <si>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</si>
  <si>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</si>
  <si>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</si>
  <si>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</si>
  <si>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</si>
  <si>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</si>
  <si>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</si>
  <si>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</si>
  <si>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</si>
  <si>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</si>
  <si>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</si>
  <si>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</si>
  <si>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</si>
  <si>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</si>
  <si>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</si>
  <si>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</si>
  <si>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</si>
  <si>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</si>
  <si>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</si>
  <si>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</si>
  <si>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</si>
  <si>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</si>
  <si>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</si>
  <si>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</si>
  <si>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</si>
  <si>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</si>
  <si>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</si>
  <si>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</si>
  <si>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</si>
  <si>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</si>
  <si>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</si>
  <si>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</si>
  <si>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</si>
  <si>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</si>
  <si>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</si>
  <si>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</si>
  <si>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</si>
  <si>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</si>
  <si>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</si>
  <si>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</si>
  <si>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</si>
  <si>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</si>
  <si>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</si>
  <si>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</si>
  <si>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</si>
  <si>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</si>
  <si>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</si>
  <si>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</si>
  <si>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</si>
  <si>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</si>
  <si>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</si>
  <si>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</si>
  <si>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</si>
  <si>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</si>
  <si>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</si>
  <si>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</si>
  <si>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</si>
  <si>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</si>
  <si>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</si>
  <si>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</si>
  <si>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</si>
  <si>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</si>
  <si>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</si>
  <si>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</si>
  <si>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</si>
  <si>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</si>
  <si>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</si>
  <si>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</si>
  <si>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</si>
  <si>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</si>
  <si>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</si>
  <si>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</si>
  <si>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</si>
  <si>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</si>
  <si>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</si>
  <si>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</si>
  <si>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</si>
  <si>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</si>
  <si>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</si>
  <si>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</si>
  <si>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</si>
  <si>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</si>
  <si>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</si>
  <si>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</si>
  <si>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</si>
  <si>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</si>
  <si>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</si>
  <si>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</si>
  <si>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</si>
  <si>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</si>
  <si>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</si>
  <si>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</si>
  <si>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</si>
  <si>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</si>
  <si>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</si>
  <si>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</si>
  <si>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</si>
  <si>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</si>
  <si>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</si>
  <si>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</si>
  <si>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</si>
  <si>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</si>
  <si>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</si>
  <si>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</si>
  <si>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</si>
  <si>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</si>
  <si>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</si>
  <si>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</si>
  <si>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</si>
  <si>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</si>
  <si>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</si>
  <si>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</si>
  <si>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</si>
  <si>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</si>
  <si>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</si>
  <si>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</si>
  <si>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</si>
  <si>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</si>
  <si>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</si>
  <si>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</si>
  <si>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</si>
  <si>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</si>
  <si>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</si>
  <si>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</si>
  <si>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</si>
  <si>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</si>
  <si>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</si>
  <si>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</si>
  <si>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</si>
  <si>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</si>
  <si>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</si>
  <si>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</si>
  <si>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</si>
  <si>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</si>
  <si>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</si>
  <si>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</si>
  <si>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</si>
  <si>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</si>
  <si>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</si>
  <si>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</si>
  <si>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</si>
  <si>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</si>
  <si>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</si>
  <si>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</si>
  <si>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</si>
  <si>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</si>
  <si>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</si>
  <si>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</si>
  <si>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</si>
  <si>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</si>
  <si>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</si>
  <si>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</si>
  <si>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</si>
  <si>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</si>
  <si>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</si>
  <si>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</si>
  <si>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</si>
  <si>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</si>
  <si>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</si>
  <si>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</si>
  <si>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</si>
  <si>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</si>
  <si>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</si>
  <si>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</si>
  <si>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</si>
  <si>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</si>
  <si>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</si>
  <si>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</si>
  <si>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</si>
  <si>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</si>
  <si>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</si>
  <si>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</si>
  <si>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</si>
  <si>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</si>
  <si>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</si>
  <si>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</si>
  <si>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</si>
  <si>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</si>
  <si>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</si>
  <si>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</si>
  <si>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</si>
  <si>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</si>
  <si>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</si>
  <si>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</si>
  <si>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</si>
  <si>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</si>
  <si>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</si>
  <si>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</si>
  <si>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</si>
  <si>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</si>
  <si>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</si>
  <si>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</si>
  <si>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</si>
  <si>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</si>
  <si>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</si>
  <si>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</si>
  <si>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</si>
  <si>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</si>
  <si>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</si>
  <si>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</si>
  <si>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</si>
  <si>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</si>
  <si>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</si>
  <si>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</si>
  <si>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</si>
  <si>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</si>
  <si>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</si>
  <si>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</si>
  <si>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</si>
  <si>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</si>
  <si>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</si>
  <si>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</si>
  <si>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</si>
  <si>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</si>
  <si>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</si>
  <si>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</si>
  <si>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</si>
  <si>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</si>
  <si>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</si>
  <si>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</si>
  <si>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</si>
  <si>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</si>
  <si>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</si>
  <si>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</si>
  <si>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</si>
  <si>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</si>
  <si>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</si>
  <si>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</si>
  <si>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</si>
  <si>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</si>
  <si>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</si>
  <si>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</si>
  <si>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</si>
  <si>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</si>
  <si>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</si>
  <si>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</si>
  <si>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</si>
  <si>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</si>
  <si>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</si>
  <si>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</si>
  <si>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</si>
  <si>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</si>
  <si>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</si>
  <si>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</si>
  <si>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</si>
  <si>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</si>
  <si>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</si>
  <si>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</si>
  <si>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</si>
  <si>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</si>
  <si>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</si>
  <si>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</si>
  <si>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</si>
  <si>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</si>
  <si>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</si>
  <si>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</si>
  <si>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</si>
  <si>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</si>
  <si>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</si>
  <si>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</si>
  <si>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</si>
  <si>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</si>
  <si>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</si>
  <si>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</si>
  <si>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</si>
  <si>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</si>
  <si>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</si>
  <si>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</si>
  <si>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</si>
  <si>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</si>
  <si>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</si>
  <si>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</si>
  <si>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</si>
  <si>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</si>
  <si>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</si>
  <si>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</si>
  <si>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</si>
  <si>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</si>
  <si>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</si>
  <si>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</si>
  <si>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</si>
  <si>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</si>
  <si>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</si>
  <si>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</si>
  <si>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</si>
  <si>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</si>
  <si>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</si>
  <si>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</si>
  <si>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</si>
  <si>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</si>
  <si>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</si>
  <si>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</si>
  <si>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</si>
  <si>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</si>
  <si>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</si>
  <si>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</si>
  <si>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</si>
  <si>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</si>
  <si>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</si>
  <si>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</si>
  <si>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</si>
  <si>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</si>
  <si>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</si>
  <si>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</si>
  <si>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</si>
  <si>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</si>
  <si>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</si>
  <si>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</si>
  <si>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</si>
  <si>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</si>
  <si>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</si>
  <si>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</si>
  <si>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</si>
  <si>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</si>
  <si>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</si>
  <si>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</si>
  <si>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</si>
  <si>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</si>
  <si>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</si>
  <si>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</si>
  <si>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</si>
  <si>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</si>
  <si>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</si>
  <si>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</si>
  <si>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</si>
  <si>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</si>
  <si>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</si>
  <si>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</si>
  <si>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</si>
  <si>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</si>
  <si>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</si>
  <si>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</si>
  <si>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</si>
  <si>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</si>
  <si>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</si>
  <si>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</si>
  <si>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</si>
  <si>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</si>
  <si>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</si>
  <si>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</si>
  <si>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</si>
  <si>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</si>
  <si>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</si>
  <si>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</si>
  <si>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</si>
  <si>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</si>
  <si>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</si>
  <si>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</si>
  <si>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</si>
  <si>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</si>
  <si>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</si>
  <si>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</si>
  <si>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</si>
  <si>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</si>
  <si>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</si>
  <si>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</si>
  <si>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</si>
  <si>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</si>
  <si>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</si>
  <si>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</si>
  <si>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</si>
  <si>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</si>
  <si>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</si>
  <si>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</si>
  <si>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</si>
  <si>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</si>
  <si>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</si>
  <si>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</si>
  <si>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</si>
  <si>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</si>
  <si>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</si>
  <si>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</si>
  <si>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</si>
  <si>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</si>
  <si>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</si>
  <si>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</si>
  <si>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</si>
  <si>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</si>
  <si>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</si>
  <si>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</si>
  <si>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</si>
  <si>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</si>
  <si>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</si>
  <si>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</si>
  <si>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</si>
  <si>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</si>
  <si>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</si>
  <si>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</si>
  <si>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</si>
  <si>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</si>
  <si>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</si>
  <si>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</si>
  <si>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</si>
  <si>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</si>
  <si>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</si>
  <si>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</si>
  <si>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</si>
  <si>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</si>
  <si>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</si>
  <si>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</si>
  <si>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</si>
  <si>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</si>
  <si>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</si>
  <si>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</si>
  <si>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</si>
  <si>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</si>
  <si>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</si>
  <si>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</si>
  <si>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</si>
  <si>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</si>
  <si>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</si>
  <si>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</si>
  <si>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</si>
  <si>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</si>
  <si>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</si>
  <si>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</si>
  <si>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</si>
  <si>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</si>
  <si>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</si>
  <si>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</si>
  <si>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</si>
  <si>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</si>
  <si>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</si>
  <si>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</si>
  <si>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</si>
  <si>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</si>
  <si>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</si>
  <si>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</si>
  <si>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</si>
  <si>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</si>
  <si>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</si>
  <si>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</si>
  <si>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</si>
  <si>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</si>
  <si>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</si>
  <si>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</si>
  <si>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</si>
  <si>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</si>
  <si>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</si>
  <si>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</si>
  <si>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</si>
  <si>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</si>
  <si>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</si>
  <si>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</si>
  <si>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</si>
  <si>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</si>
  <si>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</si>
  <si>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</si>
  <si>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</si>
  <si>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</si>
  <si>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</si>
  <si>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</si>
  <si>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</si>
  <si>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</si>
  <si>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</si>
  <si>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</si>
  <si>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</si>
  <si>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</si>
  <si>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</si>
  <si>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</si>
  <si>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</si>
  <si>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</si>
  <si>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</si>
  <si>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</si>
  <si>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</si>
  <si>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</si>
  <si>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</si>
  <si>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</si>
  <si>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</si>
  <si>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</si>
  <si>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</si>
  <si>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</si>
  <si>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</si>
  <si>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</si>
  <si>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</si>
  <si>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</si>
  <si>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</si>
  <si>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</si>
  <si>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</si>
  <si>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</si>
  <si>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</si>
  <si>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</si>
  <si>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</si>
  <si>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</si>
  <si>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</si>
  <si>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</si>
  <si>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</si>
  <si>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</si>
  <si>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</si>
  <si>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</si>
  <si>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</si>
  <si>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</si>
  <si>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</si>
  <si>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</si>
  <si>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</si>
  <si>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</si>
  <si>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</si>
  <si>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</si>
  <si>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</si>
  <si>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</si>
  <si>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</si>
  <si>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</si>
  <si>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</si>
  <si>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</si>
  <si>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</si>
  <si>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</si>
  <si>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</si>
  <si>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</si>
  <si>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</si>
  <si>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</si>
  <si>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</si>
  <si>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</si>
  <si>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</si>
  <si>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</si>
  <si>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</si>
  <si>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</si>
  <si>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</si>
  <si>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</si>
  <si>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</si>
  <si>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</si>
  <si>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</si>
  <si>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</si>
  <si>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</si>
  <si>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</si>
  <si>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</si>
  <si>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</si>
  <si>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</si>
  <si>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</si>
  <si>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</si>
  <si>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</si>
  <si>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</si>
  <si>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</si>
  <si>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</si>
  <si>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</si>
  <si>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</si>
  <si>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</si>
  <si>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</si>
  <si>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</si>
  <si>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</si>
  <si>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</si>
  <si>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</si>
  <si>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</si>
  <si>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</si>
  <si>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</si>
  <si>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</si>
  <si>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</si>
  <si>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</si>
  <si>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</si>
  <si>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</si>
  <si>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</si>
  <si>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</si>
  <si>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</si>
  <si>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</si>
  <si>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</si>
  <si>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</si>
  <si>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</si>
  <si>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</si>
  <si>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</si>
  <si>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</si>
  <si>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</si>
  <si>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</si>
  <si>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</si>
  <si>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</si>
  <si>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</si>
  <si>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</si>
  <si>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</si>
  <si>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</si>
  <si>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</si>
  <si>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</si>
  <si>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</si>
  <si>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</si>
  <si>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</si>
  <si>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</si>
  <si>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</si>
  <si>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</si>
  <si>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</si>
  <si>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</si>
  <si>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</si>
  <si>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</si>
  <si>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</si>
  <si>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</si>
  <si>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</si>
  <si>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</si>
  <si>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</si>
  <si>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</si>
  <si>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</si>
  <si>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</si>
  <si>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</si>
  <si>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</si>
  <si>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</si>
  <si>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</si>
  <si>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</si>
  <si>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</si>
  <si>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</si>
  <si>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</si>
  <si>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</si>
  <si>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</si>
  <si>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</si>
  <si>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</si>
  <si>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</si>
  <si>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</si>
  <si>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</si>
  <si>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</si>
  <si>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</si>
  <si>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</si>
  <si>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</si>
  <si>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</si>
  <si>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</si>
  <si>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</si>
  <si>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</si>
  <si>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</si>
  <si>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</si>
  <si>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</si>
  <si>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</si>
  <si>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</si>
  <si>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</si>
  <si>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</si>
  <si>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</si>
  <si>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</si>
  <si>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</si>
  <si>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</si>
  <si>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</si>
  <si>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</si>
  <si>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</si>
  <si>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</si>
  <si>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</si>
  <si>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</si>
  <si>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</si>
  <si>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</si>
  <si>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</si>
  <si>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</si>
  <si>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</si>
  <si>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</si>
  <si>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</si>
  <si>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</si>
  <si>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</si>
  <si>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</si>
  <si>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</si>
  <si>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</si>
  <si>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</si>
  <si>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</si>
  <si>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</si>
  <si>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</si>
  <si>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</si>
  <si>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</si>
  <si>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</si>
  <si>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</si>
  <si>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</si>
  <si>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</si>
  <si>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</si>
  <si>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</si>
  <si>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</si>
  <si>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</si>
  <si>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</si>
  <si>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</si>
  <si>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</si>
  <si>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</si>
  <si>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</si>
  <si>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</si>
  <si>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</si>
  <si>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</si>
  <si>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</si>
  <si>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</si>
  <si>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</si>
  <si>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</si>
  <si>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</si>
  <si>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</si>
  <si>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</si>
  <si>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</si>
  <si>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</si>
  <si>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</si>
  <si>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</si>
  <si>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</si>
  <si>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</si>
  <si>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</si>
  <si>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</si>
  <si>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</si>
  <si>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</si>
  <si>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</si>
  <si>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</si>
  <si>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</si>
  <si>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</si>
  <si>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</si>
  <si>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</si>
  <si>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</si>
  <si>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</si>
  <si>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</si>
  <si>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</si>
  <si>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</si>
  <si>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</si>
  <si>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</si>
  <si>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</si>
  <si>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</si>
  <si>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</si>
  <si>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</si>
  <si>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</si>
  <si>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</si>
  <si>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</si>
  <si>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</si>
  <si>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</si>
  <si>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</si>
  <si>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</si>
  <si>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</si>
  <si>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</si>
  <si>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</si>
  <si>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</si>
  <si>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</si>
  <si>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</si>
  <si>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</si>
  <si>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</si>
  <si>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</si>
  <si>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</si>
  <si>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</si>
  <si>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</si>
  <si>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</si>
  <si>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</si>
  <si>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</si>
  <si>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</si>
  <si>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</si>
  <si>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</si>
  <si>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</si>
  <si>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</si>
  <si>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</si>
  <si>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</si>
  <si>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</si>
  <si>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</si>
  <si>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</si>
  <si>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</si>
  <si>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</si>
  <si>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</si>
  <si>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</si>
  <si>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</si>
  <si>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</si>
  <si>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</si>
  <si>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</si>
  <si>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</si>
  <si>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</si>
  <si>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</si>
  <si>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</si>
  <si>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</si>
  <si>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</si>
  <si>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</si>
  <si>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</si>
  <si>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</si>
  <si>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</si>
  <si>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</si>
  <si>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</si>
  <si>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</si>
  <si>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</si>
  <si>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</si>
  <si>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</si>
  <si>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</si>
  <si>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</si>
  <si>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</si>
  <si>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</si>
  <si>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</si>
  <si>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</si>
  <si>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</si>
  <si>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</si>
  <si>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</si>
  <si>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</si>
  <si>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</si>
  <si>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</si>
  <si>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</si>
  <si>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</si>
  <si>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</si>
  <si>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</si>
  <si>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</si>
  <si>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</si>
  <si>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</si>
  <si>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</si>
  <si>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</si>
  <si>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</si>
  <si>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</si>
  <si>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</si>
  <si>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</si>
  <si>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</si>
  <si>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</si>
  <si>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</si>
  <si>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</si>
  <si>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</si>
  <si>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</si>
  <si>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</si>
  <si>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</si>
  <si>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</si>
  <si>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</si>
  <si>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</si>
  <si>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</si>
  <si>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</si>
  <si>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</si>
  <si>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</si>
  <si>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</si>
  <si>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</si>
  <si>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</si>
  <si>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</si>
  <si>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</si>
  <si>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</si>
  <si>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</si>
  <si>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</si>
  <si>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</si>
  <si>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</si>
  <si>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</si>
  <si>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</si>
  <si>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</si>
  <si>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</si>
  <si>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</si>
  <si>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</si>
  <si>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</si>
  <si>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</si>
  <si>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</si>
  <si>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</si>
  <si>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</si>
  <si>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</si>
  <si>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</si>
  <si>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</si>
  <si>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</si>
  <si>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</si>
  <si>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</si>
  <si>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</si>
  <si>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</si>
  <si>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</si>
  <si>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</si>
  <si>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</si>
  <si>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</si>
  <si>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</si>
  <si>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</si>
  <si>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</si>
  <si>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</si>
  <si>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</si>
  <si>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</si>
  <si>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</si>
  <si>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</si>
  <si>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</si>
  <si>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</si>
  <si>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</si>
  <si>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</si>
  <si>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</si>
  <si>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</si>
  <si>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</si>
  <si>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</si>
  <si>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</si>
  <si>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</si>
  <si>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</si>
  <si>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</si>
  <si>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</si>
  <si>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</si>
  <si>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</si>
  <si>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</si>
  <si>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</si>
  <si>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</si>
  <si>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</si>
  <si>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</si>
  <si>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</si>
  <si>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</si>
  <si>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</si>
  <si>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</si>
  <si>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</si>
  <si>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</si>
  <si>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</si>
  <si>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</si>
  <si>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</si>
  <si>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</si>
  <si>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</si>
  <si>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</si>
  <si>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</si>
  <si>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</si>
  <si>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</si>
  <si>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</si>
  <si>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</si>
  <si>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</si>
  <si>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</si>
  <si>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</si>
  <si>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</si>
  <si>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</si>
  <si>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</si>
  <si>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</si>
  <si>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</si>
  <si>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</si>
  <si>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</si>
  <si>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</si>
  <si>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</si>
  <si>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</si>
  <si>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</si>
  <si>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</si>
  <si>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</si>
  <si>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</si>
  <si>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</si>
  <si>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</si>
  <si>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</si>
  <si>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</si>
  <si>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</si>
  <si>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</si>
  <si>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</si>
  <si>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</si>
  <si>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</si>
  <si>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</si>
  <si>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</si>
  <si>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</si>
  <si>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</si>
  <si>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</si>
  <si>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</si>
  <si>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</si>
  <si>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</si>
  <si>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</si>
  <si>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</si>
  <si>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</si>
  <si>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</si>
  <si>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</si>
  <si>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</si>
  <si>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</si>
  <si>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</si>
  <si>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</si>
  <si>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</si>
  <si>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</si>
  <si>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</si>
  <si>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</si>
  <si>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</si>
  <si>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</si>
  <si>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</si>
  <si>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</si>
  <si>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</si>
  <si>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</si>
  <si>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</si>
  <si>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</si>
  <si>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</si>
  <si>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</si>
  <si>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</si>
  <si>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</si>
  <si>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</si>
  <si>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</si>
  <si>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</si>
  <si>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</si>
  <si>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</si>
  <si>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</si>
  <si>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</si>
  <si>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</si>
  <si>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</si>
  <si>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</si>
  <si>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</si>
  <si>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</si>
  <si>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</si>
  <si>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</si>
  <si>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</si>
  <si>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</si>
  <si>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</si>
  <si>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</si>
  <si>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</si>
  <si>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</si>
  <si>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</si>
  <si>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</si>
  <si>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</si>
  <si>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</si>
  <si>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</si>
  <si>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</si>
  <si>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</si>
  <si>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</si>
  <si>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</si>
  <si>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</si>
  <si>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</si>
  <si>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</si>
  <si>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</si>
  <si>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</si>
  <si>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</si>
  <si>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</si>
  <si>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</si>
  <si>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</si>
  <si>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</si>
  <si>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</si>
  <si>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</si>
  <si>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</si>
  <si>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</si>
  <si>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</si>
  <si>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</si>
  <si>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</si>
  <si>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</si>
  <si>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</si>
  <si>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</si>
  <si>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</si>
  <si>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</si>
  <si>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</si>
  <si>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</si>
  <si>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</si>
  <si>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</si>
  <si>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</si>
  <si>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</si>
  <si>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</si>
  <si>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</si>
  <si>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</si>
  <si>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</si>
  <si>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</si>
  <si>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</si>
  <si>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</si>
  <si>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</si>
  <si>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</si>
  <si>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</si>
  <si>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</si>
  <si>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</si>
  <si>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</si>
  <si>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</si>
  <si>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</si>
  <si>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</si>
  <si>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</si>
  <si>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</si>
  <si>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</si>
  <si>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</si>
  <si>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</si>
  <si>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</si>
  <si>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</si>
  <si>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</si>
  <si>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</si>
  <si>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</si>
  <si>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</si>
  <si>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</si>
  <si>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</si>
  <si>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</si>
  <si>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</si>
  <si>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</si>
  <si>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</si>
  <si>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</si>
  <si>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</si>
  <si>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</si>
  <si>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</si>
  <si>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</si>
  <si>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</si>
  <si>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</si>
  <si>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</si>
  <si>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</si>
  <si>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</si>
  <si>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</si>
  <si>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</si>
  <si>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</si>
  <si>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</si>
  <si>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</si>
  <si>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</si>
  <si>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</si>
  <si>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</si>
  <si>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</si>
  <si>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</si>
  <si>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</si>
  <si>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</si>
  <si>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</si>
  <si>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</si>
  <si>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</si>
  <si>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</si>
  <si>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</si>
  <si>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</si>
  <si>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</si>
  <si>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</si>
  <si>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</si>
  <si>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</si>
  <si>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</si>
  <si>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</si>
  <si>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</si>
  <si>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</si>
  <si>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</si>
  <si>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</si>
  <si>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</si>
  <si>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</si>
  <si>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</si>
  <si>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</si>
  <si>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</si>
  <si>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</si>
  <si>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</si>
  <si>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</si>
  <si>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</si>
  <si>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</si>
  <si>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</si>
  <si>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</si>
  <si>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</si>
  <si>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</si>
  <si>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</si>
  <si>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</si>
  <si>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</si>
  <si>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</si>
  <si>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</si>
  <si>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</si>
  <si>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</si>
  <si>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</si>
  <si>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</si>
  <si>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</si>
  <si>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</si>
  <si>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</si>
  <si>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</si>
  <si>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</si>
  <si>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</si>
  <si>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</si>
  <si>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</si>
  <si>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</si>
  <si>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</si>
  <si>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</si>
  <si>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</si>
  <si>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</si>
  <si>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</si>
  <si>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</si>
  <si>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</si>
  <si>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</si>
  <si>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</si>
  <si>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</si>
  <si>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</si>
  <si>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</si>
  <si>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</si>
  <si>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</si>
  <si>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</si>
  <si>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</si>
  <si>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</si>
  <si>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</si>
  <si>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</si>
  <si>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</si>
  <si>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</si>
  <si>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</si>
  <si>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</si>
  <si>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</si>
  <si>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</si>
  <si>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</si>
  <si>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</si>
  <si>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</si>
  <si>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</si>
  <si>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</si>
  <si>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</si>
  <si>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</si>
  <si>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</si>
  <si>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</si>
  <si>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</si>
  <si>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</si>
  <si>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</si>
  <si>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</si>
  <si>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</si>
  <si>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</si>
  <si>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</si>
  <si>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</si>
  <si>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</si>
  <si>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</si>
  <si>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</si>
  <si>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</si>
  <si>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</si>
  <si>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</si>
  <si>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</si>
  <si>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</si>
  <si>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</si>
  <si>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</si>
  <si>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</si>
  <si>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</si>
  <si>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</si>
  <si>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</si>
  <si>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</si>
  <si>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</si>
  <si>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</si>
  <si>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</si>
  <si>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</si>
  <si>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</si>
  <si>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</si>
  <si>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</si>
  <si>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</si>
  <si>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</si>
  <si>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</si>
  <si>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</si>
  <si>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</si>
  <si>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</si>
  <si>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</si>
  <si>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</si>
  <si>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</si>
  <si>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</si>
  <si>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</si>
  <si>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</si>
  <si>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</si>
  <si>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</si>
  <si>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</si>
  <si>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</si>
  <si>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</si>
  <si>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</si>
  <si>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</si>
  <si>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</si>
  <si>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</si>
  <si>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</si>
  <si>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</si>
  <si>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</si>
  <si>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</si>
  <si>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</si>
  <si>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</si>
  <si>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</si>
  <si>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</si>
  <si>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</si>
  <si>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</si>
  <si>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</si>
  <si>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</si>
  <si>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</si>
  <si>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</si>
  <si>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</si>
  <si>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</si>
  <si>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</si>
  <si>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</si>
  <si>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</si>
  <si>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</si>
  <si>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</si>
  <si>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</si>
  <si>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</si>
  <si>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</si>
  <si>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</si>
  <si>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</si>
  <si>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</si>
  <si>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</si>
  <si>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</si>
  <si>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</si>
  <si>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</si>
  <si>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</si>
  <si>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</si>
  <si>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</si>
  <si>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</si>
  <si>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</si>
  <si>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</si>
  <si>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</si>
  <si>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</si>
  <si>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</si>
  <si>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</si>
  <si>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</si>
  <si>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</si>
  <si>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</si>
  <si>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</si>
  <si>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</si>
  <si>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</si>
  <si>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</si>
  <si>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</si>
  <si>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</si>
  <si>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</si>
  <si>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</si>
  <si>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</si>
  <si>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</si>
  <si>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</si>
  <si>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</si>
  <si>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</si>
  <si>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</si>
  <si>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</si>
  <si>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</si>
  <si>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</si>
  <si>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</si>
  <si>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</si>
  <si>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</si>
  <si>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</si>
  <si>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</si>
  <si>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</si>
  <si>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</si>
  <si>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</si>
  <si>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</si>
  <si>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</si>
  <si>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</si>
  <si>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</si>
  <si>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</si>
  <si>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</si>
  <si>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</si>
  <si>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</si>
  <si>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</si>
  <si>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</si>
  <si>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</si>
  <si>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</si>
  <si>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</si>
  <si>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</si>
  <si>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</si>
  <si>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</si>
  <si>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</si>
  <si>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</si>
  <si>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</si>
  <si>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</si>
  <si>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</si>
  <si>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</si>
  <si>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</si>
  <si>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</si>
  <si>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</si>
  <si>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</si>
  <si>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</si>
  <si>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</si>
  <si>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</si>
  <si>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</si>
  <si>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</si>
  <si>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</si>
  <si>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</si>
  <si>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</si>
  <si>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</si>
  <si>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</si>
  <si>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</si>
  <si>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</si>
  <si>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</si>
  <si>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</si>
  <si>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</si>
  <si>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</si>
  <si>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</si>
  <si>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</si>
  <si>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</si>
  <si>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</si>
  <si>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</si>
  <si>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</si>
  <si>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</si>
  <si>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</si>
  <si>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</si>
  <si>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</si>
  <si>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</si>
  <si>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</si>
  <si>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</si>
  <si>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</si>
  <si>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</si>
  <si>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</si>
  <si>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</si>
  <si>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</si>
  <si>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</si>
  <si>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</si>
  <si>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</si>
  <si>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</si>
  <si>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</si>
  <si>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</si>
  <si>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</si>
  <si>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</si>
  <si>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</si>
  <si>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</si>
  <si>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</si>
  <si>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</si>
  <si>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</si>
  <si>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</si>
  <si>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</si>
  <si>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</si>
  <si>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</si>
  <si>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</si>
  <si>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</si>
  <si>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</si>
  <si>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</si>
  <si>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</si>
  <si>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</si>
  <si>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</si>
  <si>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</si>
  <si>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</si>
  <si>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</si>
  <si>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</si>
  <si>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</si>
  <si>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</si>
  <si>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</si>
  <si>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</si>
  <si>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</si>
  <si>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</si>
  <si>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</si>
  <si>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</si>
  <si>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</si>
  <si>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</si>
  <si>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</si>
  <si>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</si>
  <si>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</si>
  <si>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</si>
  <si>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</si>
  <si>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</si>
  <si>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</si>
  <si>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</si>
  <si>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</si>
  <si>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</si>
  <si>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</si>
  <si>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</si>
  <si>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</si>
  <si>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</si>
  <si>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</si>
  <si>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</si>
  <si>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</si>
  <si>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</si>
  <si>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</si>
  <si>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</si>
  <si>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</si>
  <si>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</si>
  <si>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</si>
  <si>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</si>
  <si>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</si>
  <si>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</si>
  <si>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</si>
  <si>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</si>
  <si>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</si>
  <si>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</si>
  <si>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</si>
  <si>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</si>
  <si>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</si>
  <si>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</si>
  <si>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</si>
  <si>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</si>
  <si>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</si>
  <si>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</si>
  <si>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</si>
  <si>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</si>
  <si>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</si>
  <si>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</si>
  <si>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</si>
  <si>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</si>
  <si>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</si>
  <si>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</si>
  <si>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</si>
  <si>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</si>
  <si>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</si>
  <si>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</si>
  <si>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</si>
  <si>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</si>
  <si>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</si>
  <si>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</si>
  <si>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</si>
  <si>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</si>
  <si>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</si>
  <si>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</si>
  <si>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</si>
  <si>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</si>
  <si>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</si>
  <si>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</si>
  <si>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</si>
  <si>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</si>
  <si>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</si>
  <si>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</si>
  <si>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</si>
  <si>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</si>
  <si>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</si>
  <si>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</si>
  <si>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</si>
  <si>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</si>
  <si>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</si>
  <si>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</si>
  <si>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</si>
  <si>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</si>
  <si>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</si>
  <si>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</si>
  <si>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</si>
  <si>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</si>
  <si>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</si>
  <si>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</si>
  <si>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</si>
  <si>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</si>
  <si>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</si>
  <si>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</si>
  <si>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</si>
  <si>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</si>
  <si>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</si>
  <si>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</si>
  <si>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</si>
  <si>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</si>
  <si>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</si>
  <si>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</si>
  <si>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</si>
  <si>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</si>
  <si>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</si>
  <si>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</si>
  <si>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</si>
  <si>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</si>
  <si>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</si>
  <si>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</si>
  <si>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</si>
  <si>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</si>
  <si>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</si>
  <si>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</si>
  <si>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</si>
  <si>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</si>
  <si>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</si>
  <si>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</si>
  <si>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</si>
  <si>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</si>
  <si>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</si>
  <si>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</si>
  <si>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</si>
  <si>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</si>
  <si>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</si>
  <si>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</si>
  <si>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</si>
  <si>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</si>
  <si>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</si>
  <si>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</si>
  <si>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</si>
  <si>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</si>
  <si>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</si>
  <si>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</si>
  <si>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</si>
  <si>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</si>
  <si>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</si>
  <si>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</si>
  <si>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</si>
  <si>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</si>
  <si>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</si>
  <si>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</si>
  <si>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</si>
  <si>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</si>
  <si>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</si>
  <si>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</si>
  <si>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</si>
  <si>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</si>
  <si>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</si>
  <si>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</si>
  <si>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</si>
  <si>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</si>
  <si>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</si>
  <si>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</si>
  <si>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</si>
  <si>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</si>
  <si>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</si>
  <si>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</si>
  <si>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</si>
  <si>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</si>
  <si>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</si>
  <si>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</si>
  <si>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</si>
  <si>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</si>
  <si>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</si>
  <si>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</si>
  <si>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</si>
  <si>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</si>
  <si>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</si>
  <si>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</si>
  <si>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</si>
  <si>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</si>
  <si>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</si>
  <si>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</si>
  <si>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</si>
  <si>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</si>
  <si>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</si>
  <si>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</si>
  <si>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</si>
  <si>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</si>
  <si>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</si>
  <si>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</si>
  <si>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</si>
  <si>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</si>
  <si>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</si>
  <si>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</si>
  <si>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</si>
  <si>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</si>
  <si>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</si>
  <si>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</si>
  <si>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</si>
  <si>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</si>
  <si>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</si>
  <si>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</si>
  <si>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</si>
  <si>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</si>
  <si>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</si>
  <si>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</si>
  <si>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</si>
  <si>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</si>
  <si>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</si>
  <si>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</si>
  <si>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</si>
  <si>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</si>
  <si>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</si>
  <si>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</si>
  <si>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</si>
  <si>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</si>
  <si>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</si>
  <si>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</si>
  <si>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</si>
  <si>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</si>
  <si>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</si>
  <si>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</si>
  <si>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</si>
  <si>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</si>
  <si>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</si>
  <si>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</si>
  <si>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</si>
  <si>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</si>
  <si>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</si>
  <si>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</si>
  <si>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</si>
  <si>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</si>
  <si>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</si>
  <si>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</si>
  <si>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</si>
  <si>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</si>
  <si>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</si>
  <si>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</si>
  <si>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</si>
  <si>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</si>
  <si>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</si>
  <si>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</si>
  <si>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</si>
  <si>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</si>
  <si>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</si>
  <si>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</si>
  <si>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</si>
  <si>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</si>
  <si>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</si>
  <si>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</si>
  <si>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</si>
  <si>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</si>
  <si>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</si>
  <si>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</si>
  <si>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</si>
  <si>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</si>
  <si>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</si>
  <si>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</si>
  <si>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</si>
  <si>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</si>
  <si>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</si>
  <si>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</si>
  <si>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</si>
  <si>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</si>
  <si>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</si>
  <si>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</si>
  <si>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</si>
  <si>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</si>
  <si>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</si>
  <si>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</si>
  <si>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</si>
  <si>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</si>
  <si>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</si>
  <si>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</si>
  <si>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</si>
  <si>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</si>
  <si>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</si>
  <si>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</si>
  <si>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</si>
  <si>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</si>
  <si>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</si>
  <si>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</si>
  <si>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</si>
  <si>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</si>
  <si>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</si>
  <si>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</si>
  <si>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</si>
  <si>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</si>
  <si>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</si>
  <si>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</si>
  <si>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</si>
  <si>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</si>
  <si>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</si>
  <si>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</si>
  <si>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</si>
  <si>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</si>
  <si>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</si>
  <si>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</si>
  <si>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</si>
  <si>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</si>
  <si>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</si>
  <si>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</si>
  <si>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</si>
  <si>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</si>
  <si>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</si>
  <si>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</si>
  <si>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</si>
  <si>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</si>
  <si>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</si>
  <si>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</si>
  <si>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</si>
  <si>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</si>
  <si>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</si>
  <si>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</si>
  <si>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</si>
  <si>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</si>
  <si>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</si>
  <si>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</si>
  <si>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</si>
  <si>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</si>
  <si>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</si>
  <si>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</si>
  <si>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</si>
  <si>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</si>
  <si>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</si>
  <si>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</si>
  <si>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</si>
  <si>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</si>
  <si>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</si>
  <si>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</si>
  <si>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</si>
  <si>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</si>
  <si>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</si>
  <si>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</si>
  <si>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</si>
  <si>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</si>
  <si>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</si>
  <si>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</si>
  <si>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</si>
  <si>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</si>
  <si>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</si>
  <si>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</si>
  <si>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</si>
  <si>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</si>
  <si>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</si>
  <si>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</si>
  <si>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</si>
  <si>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</si>
  <si>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</si>
  <si>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</si>
  <si>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</si>
  <si>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</si>
  <si>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</si>
  <si>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</si>
  <si>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</si>
  <si>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</si>
  <si>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</si>
  <si>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</si>
  <si>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</si>
  <si>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</si>
  <si>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</si>
  <si>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</si>
  <si>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</si>
  <si>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</si>
  <si>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</si>
  <si>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</si>
  <si>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</si>
  <si>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</si>
  <si>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</si>
  <si>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</si>
  <si>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</si>
  <si>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</si>
  <si>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</si>
  <si>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</si>
  <si>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</si>
  <si>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</si>
  <si>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</si>
  <si>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</si>
  <si>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</si>
  <si>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</si>
  <si>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</si>
  <si>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</si>
  <si>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</si>
  <si>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</si>
  <si>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</si>
  <si>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</si>
  <si>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</si>
  <si>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</si>
  <si>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</si>
  <si>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</si>
  <si>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</si>
  <si>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</si>
  <si>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</si>
  <si>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</si>
  <si>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</si>
  <si>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</si>
  <si>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</si>
  <si>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</si>
  <si>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</si>
  <si>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</si>
  <si>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</si>
  <si>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</si>
  <si>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</si>
  <si>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</si>
  <si>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</si>
  <si>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</si>
  <si>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</si>
  <si>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</si>
  <si>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</si>
  <si>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</si>
  <si>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</si>
  <si>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</si>
  <si>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</si>
  <si>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</si>
  <si>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</si>
  <si>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</si>
  <si>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</si>
  <si>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</si>
  <si>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</si>
  <si>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</si>
  <si>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</si>
  <si>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</si>
  <si>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</si>
  <si>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</si>
  <si>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</si>
  <si>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</si>
  <si>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</si>
  <si>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</si>
  <si>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</si>
  <si>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</si>
  <si>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</si>
  <si>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</si>
  <si>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</si>
  <si>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</si>
  <si>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</si>
  <si>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</si>
  <si>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</si>
  <si>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</si>
  <si>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</si>
  <si>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</si>
  <si>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</si>
  <si>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</si>
  <si>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</si>
  <si>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</si>
  <si>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</si>
  <si>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</si>
  <si>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</si>
  <si>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</si>
  <si>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</si>
  <si>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</si>
  <si>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</si>
  <si>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</si>
  <si>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</si>
  <si>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</si>
  <si>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</si>
  <si>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</si>
  <si>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</si>
  <si>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</si>
  <si>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</si>
  <si>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</si>
  <si>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</si>
  <si>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</si>
  <si>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</si>
  <si>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</si>
  <si>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</si>
  <si>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</si>
  <si>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</si>
  <si>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</si>
  <si>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</si>
  <si>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</si>
  <si>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</si>
  <si>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</si>
  <si>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</si>
  <si>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</si>
  <si>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</si>
  <si>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</si>
  <si>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</si>
  <si>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</si>
  <si>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</si>
  <si>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</si>
  <si>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</si>
  <si>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</si>
  <si>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</si>
  <si>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</si>
  <si>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</si>
  <si>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</si>
  <si>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</si>
  <si>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</si>
  <si>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</si>
  <si>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</si>
  <si>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</si>
  <si>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</si>
  <si>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</si>
  <si>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</si>
  <si>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</si>
  <si>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</si>
  <si>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</si>
  <si>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</si>
  <si>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</si>
  <si>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</si>
  <si>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</si>
  <si>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</si>
  <si>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</si>
  <si>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</si>
  <si>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</si>
  <si>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</si>
  <si>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</si>
  <si>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</si>
  <si>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</si>
  <si>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</si>
  <si>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</si>
  <si>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</si>
  <si>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</si>
  <si>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</si>
  <si>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</si>
  <si>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</si>
  <si>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</si>
  <si>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</si>
  <si>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</si>
  <si>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</si>
  <si>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</si>
  <si>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</si>
  <si>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</si>
  <si>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</si>
  <si>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</si>
  <si>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</si>
  <si>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</si>
  <si>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</si>
  <si>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</si>
  <si>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</si>
  <si>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</si>
  <si>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</si>
  <si>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</si>
  <si>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</si>
  <si>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</si>
  <si>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</si>
  <si>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</si>
  <si>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</si>
  <si>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</si>
  <si>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</si>
  <si>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</si>
  <si>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</si>
  <si>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</si>
  <si>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</si>
  <si>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</si>
  <si>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</si>
  <si>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</si>
  <si>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</si>
  <si>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</si>
  <si>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</si>
  <si>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</si>
  <si>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</si>
  <si>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</si>
  <si>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</si>
  <si>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</si>
  <si>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</si>
  <si>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</si>
  <si>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</si>
  <si>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</si>
  <si>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</si>
  <si>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</si>
  <si>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</si>
  <si>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</si>
  <si>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</si>
  <si>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</si>
  <si>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</si>
  <si>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</si>
  <si>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</si>
  <si>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</si>
  <si>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</si>
  <si>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</si>
  <si>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</si>
  <si>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</si>
  <si>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</si>
  <si>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</si>
  <si>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</si>
  <si>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</si>
  <si>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</si>
  <si>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</si>
  <si>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</si>
  <si>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</si>
  <si>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</si>
  <si>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</si>
  <si>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</si>
  <si>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</si>
  <si>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</si>
  <si>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</si>
  <si>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</si>
  <si>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</si>
  <si>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</si>
  <si>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</si>
  <si>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</si>
  <si>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</si>
  <si>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</si>
  <si>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</si>
  <si>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</si>
  <si>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</si>
  <si>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</si>
  <si>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</si>
  <si>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</si>
  <si>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</si>
  <si>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</si>
  <si>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</si>
  <si>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</si>
  <si>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</si>
  <si>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</si>
  <si>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</si>
  <si>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</si>
  <si>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</si>
  <si>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</si>
  <si>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</si>
  <si>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</si>
  <si>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</si>
  <si>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</si>
  <si>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</si>
  <si>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</si>
  <si>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</si>
  <si>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</si>
  <si>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</si>
  <si>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</si>
  <si>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</si>
  <si>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</si>
  <si>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</si>
  <si>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</si>
  <si>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</si>
  <si>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</si>
  <si>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</si>
  <si>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</si>
  <si>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</si>
  <si>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</si>
  <si>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</si>
  <si>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</si>
  <si>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</si>
  <si>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</si>
  <si>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</si>
  <si>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</si>
  <si>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</si>
  <si>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</si>
  <si>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</si>
  <si>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</si>
  <si>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</si>
  <si>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</si>
  <si>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</si>
  <si>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</si>
  <si>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</si>
  <si>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</si>
  <si>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</si>
  <si>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</si>
  <si>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</si>
  <si>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</si>
  <si>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</si>
  <si>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</si>
  <si>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</si>
  <si>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</si>
  <si>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</si>
  <si>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</si>
  <si>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</si>
  <si>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</si>
  <si>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</si>
  <si>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</si>
  <si>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</si>
  <si>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</si>
  <si>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</si>
  <si>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</si>
  <si>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</si>
  <si>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</si>
  <si>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</si>
  <si>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</si>
  <si>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</si>
  <si>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</si>
  <si>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</si>
  <si>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</si>
  <si>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</si>
  <si>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</si>
  <si>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</si>
  <si>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</si>
  <si>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</si>
  <si>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</si>
  <si>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</si>
  <si>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</si>
  <si>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</si>
  <si>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</si>
  <si>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</si>
  <si>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</si>
  <si>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</si>
  <si>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</si>
  <si>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</si>
  <si>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</si>
  <si>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</si>
  <si>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</si>
  <si>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</si>
  <si>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</si>
  <si>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</si>
  <si>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</si>
  <si>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</si>
  <si>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</si>
  <si>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</si>
  <si>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</si>
  <si>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</si>
  <si>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</si>
  <si>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</si>
  <si>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</si>
  <si>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</si>
  <si>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</si>
  <si>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</si>
  <si>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</si>
  <si>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</si>
  <si>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</si>
  <si>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</si>
  <si>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</si>
  <si>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</si>
  <si>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</si>
  <si>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</si>
  <si>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</si>
  <si>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</si>
  <si>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</si>
  <si>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</si>
  <si>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</si>
  <si>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</si>
  <si>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</si>
  <si>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</si>
  <si>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</si>
  <si>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</si>
  <si>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</si>
  <si>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</si>
  <si>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</si>
  <si>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</si>
  <si>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</si>
  <si>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</si>
  <si>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</si>
  <si>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</si>
  <si>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</si>
  <si>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</si>
  <si>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</si>
  <si>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</si>
  <si>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</si>
  <si>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</si>
  <si>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</si>
  <si>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</si>
  <si>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</si>
  <si>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</si>
  <si>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</si>
  <si>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</si>
  <si>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</si>
  <si>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</si>
  <si>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</si>
  <si>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</si>
  <si>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</si>
  <si>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</si>
  <si>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</si>
  <si>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</si>
  <si>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</si>
  <si>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</si>
  <si>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</si>
  <si>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</si>
  <si>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</si>
  <si>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</si>
  <si>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</si>
  <si>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</si>
  <si>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</si>
  <si>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</si>
  <si>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</si>
  <si>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</si>
  <si>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</si>
  <si>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</si>
  <si>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</si>
  <si>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</si>
  <si>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</si>
  <si>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</si>
  <si>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</si>
  <si>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</si>
  <si>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</si>
  <si>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</si>
  <si>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</si>
  <si>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</si>
  <si>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</si>
  <si>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</si>
  <si>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</si>
  <si>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</si>
  <si>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</si>
  <si>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</si>
  <si>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</si>
  <si>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</si>
  <si>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</si>
  <si>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</si>
  <si>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</si>
  <si>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</si>
  <si>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</si>
  <si>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</si>
  <si>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</si>
  <si>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</si>
  <si>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</si>
  <si>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</si>
  <si>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</si>
  <si>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</si>
  <si>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</si>
  <si>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</si>
  <si>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</si>
  <si>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</si>
  <si>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</si>
  <si>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</si>
  <si>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</si>
  <si>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</si>
  <si>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</si>
  <si>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</si>
  <si>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</si>
  <si>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</si>
  <si>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</si>
  <si>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</si>
  <si>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</si>
  <si>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</si>
  <si>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</si>
  <si>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</si>
  <si>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</si>
  <si>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</si>
  <si>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</si>
  <si>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</si>
  <si>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</si>
  <si>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</si>
  <si>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</si>
  <si>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</si>
  <si>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</si>
  <si>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</si>
  <si>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</si>
  <si>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</si>
  <si>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</si>
  <si>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</si>
  <si>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</si>
  <si>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</si>
  <si>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</si>
  <si>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</si>
  <si>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</si>
  <si>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</si>
  <si>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</si>
  <si>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</si>
  <si>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</si>
  <si>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</si>
  <si>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</si>
  <si>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</si>
  <si>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</si>
  <si>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</si>
  <si>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</si>
  <si>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</si>
  <si>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</si>
  <si>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</si>
  <si>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</si>
  <si>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</si>
  <si>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</si>
  <si>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</si>
  <si>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</si>
  <si>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</si>
  <si>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</si>
  <si>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</si>
  <si>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</si>
  <si>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</si>
  <si>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</si>
  <si>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</si>
  <si>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</si>
  <si>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</si>
  <si>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</si>
  <si>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</si>
  <si>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</si>
  <si>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</si>
  <si>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</si>
  <si>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</si>
  <si>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</si>
  <si>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</si>
  <si>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</si>
  <si>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</si>
  <si>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</si>
  <si>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</si>
  <si>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</si>
  <si>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</si>
  <si>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</si>
  <si>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</si>
  <si>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</si>
  <si>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</si>
  <si>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</si>
  <si>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</si>
  <si>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</si>
  <si>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</si>
  <si>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</si>
  <si>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</si>
  <si>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</si>
  <si>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</si>
  <si>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</si>
  <si>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</si>
  <si>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</si>
  <si>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</si>
  <si>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</si>
  <si>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</si>
  <si>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</si>
  <si>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</si>
  <si>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</si>
  <si>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</si>
  <si>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</si>
  <si>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</si>
  <si>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</si>
  <si>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</si>
  <si>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</si>
  <si>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</si>
  <si>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</si>
  <si>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</si>
  <si>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</si>
  <si>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</si>
  <si>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</si>
  <si>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</si>
  <si>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</si>
  <si>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</si>
  <si>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</si>
  <si>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</si>
  <si>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</si>
  <si>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</si>
  <si>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</si>
  <si>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</si>
  <si>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</si>
  <si>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</si>
  <si>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</si>
  <si>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</si>
  <si>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</si>
  <si>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</si>
  <si>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</si>
  <si>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</si>
  <si>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</si>
  <si>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</si>
  <si>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</si>
  <si>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</si>
  <si>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</si>
  <si>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</si>
  <si>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</si>
  <si>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</si>
  <si>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</si>
  <si>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</si>
  <si>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</si>
  <si>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</si>
  <si>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</si>
  <si>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</si>
  <si>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</si>
  <si>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</si>
  <si>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</si>
  <si>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</si>
  <si>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</si>
  <si>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</si>
  <si>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</si>
  <si>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</si>
  <si>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</si>
  <si>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</si>
  <si>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</si>
  <si>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</si>
  <si>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</si>
  <si>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</si>
  <si>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</si>
  <si>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</si>
  <si>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</si>
  <si>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</si>
  <si>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</si>
  <si>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</si>
  <si>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</si>
  <si>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</si>
  <si>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</si>
  <si>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</si>
  <si>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</si>
  <si>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</si>
  <si>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</si>
  <si>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</si>
  <si>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</si>
  <si>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</si>
  <si>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</si>
  <si>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</si>
  <si>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</si>
  <si>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</si>
  <si>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</si>
  <si>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</si>
  <si>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</si>
  <si>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</si>
  <si>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</si>
  <si>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</si>
  <si>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</si>
  <si>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</si>
  <si>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</si>
  <si>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</si>
  <si>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</si>
  <si>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</si>
  <si>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</si>
  <si>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</si>
  <si>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</si>
  <si>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</si>
  <si>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</si>
  <si>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</si>
  <si>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</si>
  <si>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</si>
  <si>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</si>
  <si>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</si>
  <si>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</si>
  <si>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</si>
  <si>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</si>
  <si>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</si>
  <si>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</si>
  <si>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</si>
  <si>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</si>
  <si>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</si>
  <si>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</si>
  <si>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</si>
  <si>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</si>
  <si>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</si>
  <si>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</si>
  <si>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</si>
  <si>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</si>
  <si>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</si>
  <si>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</si>
  <si>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</si>
  <si>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</si>
  <si>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</si>
  <si>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</si>
  <si>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</si>
  <si>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</si>
  <si>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</si>
  <si>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</si>
  <si>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</si>
  <si>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</si>
  <si>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</si>
  <si>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</si>
  <si>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</si>
  <si>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</si>
  <si>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</si>
  <si>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</si>
  <si>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</si>
  <si>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</si>
  <si>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</si>
  <si>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</si>
  <si>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</si>
  <si>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</si>
  <si>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</si>
  <si>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</si>
  <si>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</si>
  <si>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</si>
  <si>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</si>
  <si>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</si>
  <si>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</si>
  <si>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</si>
  <si>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</si>
  <si>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</si>
  <si>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</si>
  <si>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</si>
  <si>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</si>
  <si>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</si>
  <si>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</si>
  <si>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</si>
  <si>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</si>
  <si>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</si>
  <si>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</si>
  <si>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</si>
  <si>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</si>
  <si>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</si>
  <si>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</si>
  <si>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</si>
  <si>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</si>
  <si>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</si>
  <si>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</si>
  <si>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</si>
  <si>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</si>
  <si>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</si>
  <si>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</si>
  <si>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</si>
  <si>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</si>
  <si>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</si>
  <si>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</si>
  <si>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</si>
  <si>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</si>
  <si>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</si>
  <si>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</si>
  <si>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</si>
  <si>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</si>
  <si>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</si>
  <si>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</si>
  <si>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</si>
  <si>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</si>
  <si>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</si>
  <si>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</si>
  <si>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</si>
  <si>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</si>
  <si>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</si>
  <si>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</si>
  <si>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</si>
  <si>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</si>
  <si>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</si>
  <si>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</si>
  <si>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</si>
  <si>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</si>
  <si>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</si>
  <si>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</si>
  <si>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</si>
  <si>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</si>
  <si>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</si>
  <si>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</si>
  <si>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</si>
  <si>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</si>
  <si>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</si>
  <si>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</si>
  <si>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</si>
  <si>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</si>
  <si>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</si>
  <si>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</si>
  <si>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</si>
  <si>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</si>
  <si>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</si>
  <si>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</si>
  <si>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</si>
  <si>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</si>
  <si>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</si>
  <si>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</si>
  <si>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</si>
  <si>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</si>
  <si>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</si>
  <si>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</si>
  <si>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</si>
  <si>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</si>
  <si>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</si>
  <si>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</si>
  <si>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</si>
  <si>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</si>
  <si>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</si>
  <si>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</si>
  <si>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</si>
  <si>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</si>
  <si>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</si>
  <si>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</si>
  <si>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</si>
  <si>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</si>
  <si>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</si>
  <si>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</si>
  <si>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</si>
  <si>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</si>
  <si>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</si>
  <si>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</si>
  <si>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</si>
  <si>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</si>
  <si>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</si>
  <si>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</si>
  <si>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</si>
  <si>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</si>
  <si>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</si>
  <si>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</si>
  <si>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</si>
  <si>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</si>
  <si>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</si>
  <si>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</si>
  <si>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</si>
  <si>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</si>
  <si>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</si>
  <si>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</si>
  <si>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</si>
  <si>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</si>
  <si>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</si>
  <si>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</si>
  <si>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</si>
  <si>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</si>
  <si>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</si>
  <si>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</si>
  <si>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</si>
  <si>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</si>
  <si>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</si>
  <si>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</si>
  <si>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</si>
  <si>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</si>
  <si>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</si>
  <si>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</si>
  <si>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</si>
  <si>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</si>
  <si>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</si>
  <si>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</si>
  <si>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</si>
  <si>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</si>
  <si>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</si>
  <si>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</si>
  <si>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</si>
  <si>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</si>
  <si>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</si>
  <si>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</si>
  <si>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</si>
  <si>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</si>
  <si>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</si>
  <si>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</si>
  <si>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</si>
  <si>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</si>
  <si>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</si>
  <si>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</si>
  <si>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</si>
  <si>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</si>
  <si>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</si>
  <si>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</si>
  <si>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</si>
  <si>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</si>
  <si>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</si>
  <si>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</si>
  <si>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</si>
  <si>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</si>
  <si>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</si>
  <si>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</si>
  <si>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</si>
  <si>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</si>
  <si>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</si>
  <si>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</si>
  <si>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</si>
  <si>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</si>
  <si>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</si>
  <si>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</si>
  <si>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</si>
  <si>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</si>
  <si>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</si>
  <si>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</si>
  <si>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</si>
  <si>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</si>
  <si>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</si>
  <si>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</si>
  <si>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</si>
  <si>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</si>
  <si>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</si>
  <si>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</si>
  <si>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</si>
  <si>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</si>
  <si>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</si>
  <si>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</si>
  <si>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</si>
  <si>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</si>
  <si>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</si>
  <si>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</si>
  <si>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</si>
  <si>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</si>
  <si>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</si>
  <si>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</si>
  <si>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</si>
  <si>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</si>
  <si>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</si>
  <si>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</si>
  <si>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</si>
  <si>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</si>
  <si>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</si>
  <si>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</si>
  <si>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</si>
  <si>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</si>
  <si>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</si>
  <si>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</si>
  <si>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</si>
  <si>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</si>
  <si>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</si>
  <si>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</si>
  <si>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</si>
  <si>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</si>
  <si>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</si>
  <si>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</si>
  <si>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</si>
  <si>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</si>
  <si>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</si>
  <si>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</si>
  <si>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</si>
  <si>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</si>
  <si>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</si>
  <si>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</si>
  <si>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</si>
  <si>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</si>
  <si>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</si>
  <si>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</si>
  <si>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</si>
  <si>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</si>
  <si>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</si>
  <si>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</si>
  <si>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</si>
  <si>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</si>
  <si>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</si>
  <si>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</si>
  <si>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</si>
  <si>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</si>
  <si>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</si>
  <si>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</si>
  <si>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</si>
  <si>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</si>
  <si>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</si>
  <si>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</si>
  <si>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</si>
  <si>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</si>
  <si>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</si>
  <si>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</si>
  <si>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</si>
  <si>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</si>
  <si>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</si>
  <si>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</si>
  <si>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</si>
  <si>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</si>
  <si>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</si>
  <si>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</si>
  <si>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</si>
  <si>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</si>
  <si>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</si>
  <si>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</si>
  <si>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</si>
  <si>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</si>
  <si>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</si>
  <si>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</si>
  <si>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</si>
  <si>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</si>
  <si>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</si>
  <si>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</si>
  <si>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</si>
  <si>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</si>
  <si>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</si>
  <si>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</si>
  <si>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</si>
  <si>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</si>
  <si>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</si>
  <si>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</si>
  <si>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</si>
  <si>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</si>
  <si>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</si>
  <si>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</si>
  <si>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</si>
  <si>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</si>
  <si>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</si>
  <si>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</si>
  <si>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</si>
  <si>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</si>
  <si>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</si>
  <si>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</si>
  <si>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</si>
  <si>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</si>
  <si>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</si>
  <si>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</si>
  <si>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</si>
  <si>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</si>
  <si>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</si>
  <si>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</si>
  <si>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</si>
  <si>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</si>
  <si>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</si>
  <si>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</si>
  <si>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</si>
  <si>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</si>
  <si>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</si>
  <si>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</si>
  <si>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</si>
  <si>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</si>
  <si>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</si>
  <si>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</si>
  <si>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</si>
  <si>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</si>
  <si>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</si>
  <si>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</si>
  <si>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</si>
  <si>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</si>
  <si>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</si>
  <si>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</si>
  <si>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</si>
  <si>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</si>
  <si>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</si>
  <si>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</si>
  <si>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</si>
  <si>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</si>
  <si>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</si>
  <si>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</si>
  <si>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</si>
  <si>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</si>
  <si>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</si>
  <si>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</si>
  <si>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</si>
  <si>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</si>
  <si>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</si>
  <si>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</si>
  <si>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</si>
  <si>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</si>
  <si>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</si>
  <si>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</si>
  <si>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</si>
  <si>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</si>
  <si>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</si>
  <si>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</si>
  <si>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</si>
  <si>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</si>
  <si>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</si>
  <si>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</si>
  <si>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</si>
  <si>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</si>
  <si>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</si>
  <si>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</si>
  <si>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</si>
  <si>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</si>
  <si>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</si>
  <si>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</si>
  <si>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</si>
  <si>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</si>
  <si>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</si>
  <si>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</si>
  <si>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</si>
  <si>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</si>
  <si>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</si>
  <si>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</si>
  <si>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</si>
  <si>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</si>
  <si>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</si>
  <si>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</si>
  <si>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</si>
  <si>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</si>
  <si>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</si>
  <si>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</si>
  <si>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</si>
  <si>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</si>
  <si>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</si>
  <si>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</si>
  <si>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</si>
  <si>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</si>
  <si>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</si>
  <si>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</si>
  <si>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</si>
  <si>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</si>
  <si>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</si>
  <si>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</si>
  <si>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</si>
  <si>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</si>
  <si>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</si>
  <si>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</si>
  <si>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</si>
  <si>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</si>
  <si>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</si>
  <si>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</si>
  <si>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</si>
  <si>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</si>
  <si>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</si>
  <si>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</si>
  <si>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4549848#1</t>
  </si>
  <si>
    <t>Cmrcimbras</t>
  </si>
  <si>
    <t>4478992#1</t>
  </si>
  <si>
    <t>Jvconstructor</t>
  </si>
  <si>
    <t>4597917#1</t>
  </si>
  <si>
    <t>Dolphoxco</t>
  </si>
  <si>
    <t>4448312#1</t>
  </si>
  <si>
    <t>Lagunasnorte</t>
  </si>
  <si>
    <t>4504033#1</t>
  </si>
  <si>
    <t>Probela La Molina</t>
  </si>
  <si>
    <t>1840584#1</t>
  </si>
  <si>
    <t>Trucks tract USA</t>
  </si>
  <si>
    <t>4488759#1</t>
  </si>
  <si>
    <t>Assaabloy</t>
  </si>
  <si>
    <t>4570145#1</t>
  </si>
  <si>
    <t>Bavikon</t>
  </si>
  <si>
    <t>4448993#1</t>
  </si>
  <si>
    <t>GRUPO MOLICOM</t>
  </si>
  <si>
    <t>441299#4</t>
  </si>
  <si>
    <t>maquiprocesos</t>
  </si>
  <si>
    <t>2446667#2</t>
  </si>
  <si>
    <t>Industrias Altos Sociedad Anonima Cerrada</t>
  </si>
  <si>
    <t>4294850#1</t>
  </si>
  <si>
    <t>INTEGRA RETAIL</t>
  </si>
  <si>
    <t>4546586#1</t>
  </si>
  <si>
    <t>Kaizen360pe</t>
  </si>
  <si>
    <t>2145417#1</t>
  </si>
  <si>
    <t>Ultramodular</t>
  </si>
  <si>
    <t>878469#1</t>
  </si>
  <si>
    <t>Miranda Arquitectos</t>
  </si>
  <si>
    <t>4615441#1</t>
  </si>
  <si>
    <t>Prodemco</t>
  </si>
  <si>
    <t>1714541#1</t>
  </si>
  <si>
    <t>Thomasjefferson</t>
  </si>
  <si>
    <t>4609791#1</t>
  </si>
  <si>
    <t>Wave Arquitectura</t>
  </si>
  <si>
    <t>610537#1</t>
  </si>
  <si>
    <t>Tecinci</t>
  </si>
  <si>
    <t>1347373#1</t>
  </si>
  <si>
    <t>Bioquimica.cl</t>
  </si>
  <si>
    <t>2392382#1</t>
  </si>
  <si>
    <t>Cobitat</t>
  </si>
  <si>
    <t>3867287#1</t>
  </si>
  <si>
    <t>Gomez Roco</t>
  </si>
  <si>
    <t>1329080#1</t>
  </si>
  <si>
    <t>EXO S.A. - Soluciones Tecnológicas</t>
  </si>
  <si>
    <t>2394114#1</t>
  </si>
  <si>
    <t>Carpeal</t>
  </si>
  <si>
    <t>4543458#1</t>
  </si>
  <si>
    <t>Cospb</t>
  </si>
  <si>
    <t>4590983#1</t>
  </si>
  <si>
    <t>Filabe</t>
  </si>
  <si>
    <t>3876430#1</t>
  </si>
  <si>
    <t>Santateresita</t>
  </si>
  <si>
    <t>2446700#3</t>
  </si>
  <si>
    <t>C.E.P. Santa Maria De Brena E.I.R.L.</t>
  </si>
  <si>
    <t>1264047#1</t>
  </si>
  <si>
    <t>Frigerio Nelson Horacio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</si>
</sst>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e046012-d2a9-4e7e-b221-9016f1d120a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m/>
      </sharedItems>
    </cacheField>
    <cacheField name="Country" numFmtId="0">
      <sharedItems containsBlank="1">
        <s v="Mexico"/>
        <s v="Nicaragua"/>
        <s v="Belize"/>
        <s v="Honduras"/>
        <s v="Costa Rica"/>
        <s v="Panama"/>
        <s v="Guatemala"/>
        <m/>
      </sharedItems>
    </cacheField>
    <cacheField name="Investigator" numFmtId="0">
      <sharedItems containsBlank="1">
        <s v="Francisco"/>
        <s v="Maria Celeste"/>
        <s v="Noel"/>
        <s v="Antonel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m/>
      </sharedItems>
    </cacheField>
    <cacheField name="Investigator" numFmtId="0">
      <sharedItems containsBlank="1">
        <s v="Mariadelaida"/>
        <s v="Rafael"/>
        <s v="Enrique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t="default"/>
      </items>
    </pivotField>
    <pivotField name="Country" axis="axisRow" dataField="1" compact="0" outline="0" multipleItemSelectionAllowed="1" showAll="0" sortType="ascending">
      <items>
        <item x="7"/>
        <item x="2"/>
        <item x="4"/>
        <item x="6"/>
        <item x="3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4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e046012-d2a9-4e7e-b221-9016f1d120aa}" id="{0925e5a4-b9bf-45af-ad9d-b5a2032bd51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12</v>
      </c>
      <c r="F19" s="246">
        <f t="shared" ref="F19:F21" si="1">C19-E19</f>
        <v>18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14</v>
      </c>
      <c r="L19" s="33">
        <f t="shared" ref="L19:L23" si="2">I19-K19</f>
        <v>-9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</v>
      </c>
      <c r="F20" s="246">
        <f t="shared" si="1"/>
        <v>13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5</v>
      </c>
      <c r="F21" s="246">
        <f t="shared" si="1"/>
        <v>10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6</v>
      </c>
      <c r="L21" s="33">
        <f t="shared" si="2"/>
        <v>14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17</v>
      </c>
      <c r="L22" s="33">
        <f t="shared" si="2"/>
        <v>-2</v>
      </c>
    </row>
    <row r="23" outlineLevel="1">
      <c r="D23" s="10"/>
      <c r="E23" s="37" t="s">
        <v>41</v>
      </c>
      <c r="F23" s="38">
        <f>SUM(F19:F21)</f>
        <v>41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3</v>
      </c>
      <c r="L23" s="33">
        <f t="shared" si="2"/>
        <v>7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16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/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/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/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/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/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/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/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/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98"/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/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98"/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 t="s">
        <v>22</v>
      </c>
      <c r="F16" s="402" t="s">
        <v>2344</v>
      </c>
      <c r="G16" s="61"/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98"/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 t="s">
        <v>19</v>
      </c>
      <c r="F17" s="274" t="s">
        <v>2344</v>
      </c>
      <c r="G17" s="61"/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98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/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61"/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3738</v>
      </c>
      <c r="D19" s="294" t="s">
        <v>3739</v>
      </c>
      <c r="E19" s="391" t="s">
        <v>24</v>
      </c>
      <c r="F19" s="295" t="s">
        <v>2344</v>
      </c>
      <c r="G19" s="61"/>
      <c r="H19" s="269"/>
      <c r="J19" s="380">
        <v>46174.0</v>
      </c>
      <c r="K19" s="294" t="s">
        <v>3740</v>
      </c>
      <c r="L19" s="294" t="s">
        <v>3741</v>
      </c>
      <c r="M19" s="441" t="s">
        <v>23</v>
      </c>
      <c r="N19" s="404" t="s">
        <v>2338</v>
      </c>
      <c r="O19" s="109"/>
      <c r="P19" s="298"/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3742</v>
      </c>
      <c r="D20" s="273" t="s">
        <v>3743</v>
      </c>
      <c r="E20" s="402" t="s">
        <v>16</v>
      </c>
      <c r="F20" s="274" t="s">
        <v>2344</v>
      </c>
      <c r="G20" s="61"/>
      <c r="H20" s="269"/>
      <c r="J20" s="382">
        <v>46174.0</v>
      </c>
      <c r="K20" s="273" t="s">
        <v>3744</v>
      </c>
      <c r="L20" s="273" t="s">
        <v>3745</v>
      </c>
      <c r="M20" s="399" t="s">
        <v>23</v>
      </c>
      <c r="N20" s="274" t="s">
        <v>2338</v>
      </c>
      <c r="O20" s="61"/>
      <c r="P20" s="298"/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/>
      <c r="C21" s="109"/>
      <c r="D21" s="373"/>
      <c r="E21" s="58"/>
      <c r="F21" s="344"/>
      <c r="G21" s="61"/>
      <c r="H21" s="269"/>
      <c r="J21" s="380">
        <v>46174.0</v>
      </c>
      <c r="K21" s="294" t="s">
        <v>3746</v>
      </c>
      <c r="L21" s="294" t="s">
        <v>3747</v>
      </c>
      <c r="M21" s="441" t="s">
        <v>23</v>
      </c>
      <c r="N21" s="406" t="s">
        <v>2338</v>
      </c>
      <c r="O21" s="61"/>
      <c r="P21" s="298"/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/>
      <c r="C22" s="109"/>
      <c r="D22" s="373"/>
      <c r="E22" s="58"/>
      <c r="F22" s="344"/>
      <c r="G22" s="61"/>
      <c r="H22" s="269"/>
      <c r="J22" s="382">
        <v>46174.0</v>
      </c>
      <c r="K22" s="273" t="s">
        <v>3748</v>
      </c>
      <c r="L22" s="273" t="s">
        <v>3749</v>
      </c>
      <c r="M22" s="274" t="s">
        <v>23</v>
      </c>
      <c r="N22" s="274" t="s">
        <v>2338</v>
      </c>
      <c r="O22" s="61"/>
      <c r="P22" s="298"/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/>
      <c r="C23" s="109"/>
      <c r="D23" s="373"/>
      <c r="E23" s="58"/>
      <c r="F23" s="344"/>
      <c r="G23" s="61"/>
      <c r="H23" s="269"/>
      <c r="J23" s="403">
        <v>46175.0</v>
      </c>
      <c r="K23" s="294" t="s">
        <v>3750</v>
      </c>
      <c r="L23" s="294" t="s">
        <v>3751</v>
      </c>
      <c r="M23" s="391" t="s">
        <v>23</v>
      </c>
      <c r="N23" s="391" t="s">
        <v>2337</v>
      </c>
      <c r="O23" s="61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344"/>
      <c r="G24" s="109"/>
      <c r="H24" s="269"/>
      <c r="J24" s="401">
        <v>46175.0</v>
      </c>
      <c r="K24" s="273" t="s">
        <v>3752</v>
      </c>
      <c r="L24" s="273" t="s">
        <v>3753</v>
      </c>
      <c r="M24" s="402" t="s">
        <v>27</v>
      </c>
      <c r="N24" s="402" t="s">
        <v>2337</v>
      </c>
      <c r="O24" s="109"/>
      <c r="P24" s="269"/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344"/>
      <c r="G25" s="61"/>
      <c r="H25" s="269"/>
      <c r="J25" s="403">
        <v>46175.0</v>
      </c>
      <c r="K25" s="294" t="s">
        <v>3754</v>
      </c>
      <c r="L25" s="294" t="s">
        <v>3755</v>
      </c>
      <c r="M25" s="391" t="s">
        <v>23</v>
      </c>
      <c r="N25" s="391" t="s">
        <v>2337</v>
      </c>
      <c r="O25" s="61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344"/>
      <c r="G26" s="61"/>
      <c r="H26" s="269"/>
      <c r="J26" s="401">
        <v>46175.0</v>
      </c>
      <c r="K26" s="273" t="s">
        <v>3756</v>
      </c>
      <c r="L26" s="273" t="s">
        <v>3757</v>
      </c>
      <c r="M26" s="402" t="s">
        <v>23</v>
      </c>
      <c r="N26" s="402" t="s">
        <v>2337</v>
      </c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344"/>
      <c r="G27" s="61"/>
      <c r="H27" s="269"/>
      <c r="J27" s="403">
        <v>46175.0</v>
      </c>
      <c r="K27" s="294" t="s">
        <v>3758</v>
      </c>
      <c r="L27" s="294" t="s">
        <v>3759</v>
      </c>
      <c r="M27" s="391" t="s">
        <v>23</v>
      </c>
      <c r="N27" s="391" t="s">
        <v>2337</v>
      </c>
      <c r="O27" s="61"/>
      <c r="P27" s="269"/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344"/>
      <c r="G28" s="61"/>
      <c r="H28" s="269"/>
      <c r="J28" s="401">
        <v>46175.0</v>
      </c>
      <c r="K28" s="273" t="s">
        <v>3760</v>
      </c>
      <c r="L28" s="273" t="s">
        <v>3761</v>
      </c>
      <c r="M28" s="402" t="s">
        <v>23</v>
      </c>
      <c r="N28" s="402" t="s">
        <v>2337</v>
      </c>
      <c r="O28" s="61"/>
      <c r="P28" s="269"/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78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344"/>
      <c r="G29" s="61"/>
      <c r="H29" s="269"/>
      <c r="J29" s="403">
        <v>46175.0</v>
      </c>
      <c r="K29" s="294" t="s">
        <v>3762</v>
      </c>
      <c r="L29" s="294" t="s">
        <v>3763</v>
      </c>
      <c r="M29" s="391" t="s">
        <v>23</v>
      </c>
      <c r="N29" s="391" t="s">
        <v>2337</v>
      </c>
      <c r="O29" s="61"/>
      <c r="P29" s="269"/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344"/>
      <c r="G30" s="109"/>
      <c r="H30" s="269"/>
      <c r="J30" s="401">
        <v>46175.0</v>
      </c>
      <c r="K30" s="273" t="s">
        <v>3764</v>
      </c>
      <c r="L30" s="273" t="s">
        <v>3765</v>
      </c>
      <c r="M30" s="402" t="s">
        <v>23</v>
      </c>
      <c r="N30" s="402" t="s">
        <v>2337</v>
      </c>
      <c r="O30" s="61"/>
      <c r="P30" s="269"/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79"/>
      <c r="AV30" s="298"/>
      <c r="AX30" s="270"/>
      <c r="AY30" s="453"/>
      <c r="AZ30" s="478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/>
      <c r="C31" s="109"/>
      <c r="D31" s="373"/>
      <c r="E31" s="58"/>
      <c r="F31" s="344"/>
      <c r="G31" s="61"/>
      <c r="H31" s="269"/>
      <c r="J31" s="382">
        <v>46175.0</v>
      </c>
      <c r="K31" s="273" t="s">
        <v>3766</v>
      </c>
      <c r="L31" s="273" t="s">
        <v>3767</v>
      </c>
      <c r="M31" s="398" t="s">
        <v>23</v>
      </c>
      <c r="N31" s="431" t="s">
        <v>2338</v>
      </c>
      <c r="O31" s="61"/>
      <c r="P31" s="269"/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0"/>
      <c r="AV31" s="269"/>
      <c r="AX31" s="270"/>
      <c r="AY31" s="450"/>
      <c r="AZ31" s="47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/>
      <c r="C32" s="109"/>
      <c r="D32" s="373"/>
      <c r="E32" s="58"/>
      <c r="F32" s="344"/>
      <c r="G32" s="61"/>
      <c r="H32" s="269"/>
      <c r="J32" s="380">
        <v>46175.0</v>
      </c>
      <c r="K32" s="294" t="s">
        <v>3768</v>
      </c>
      <c r="L32" s="294" t="s">
        <v>3769</v>
      </c>
      <c r="M32" s="396" t="s">
        <v>23</v>
      </c>
      <c r="N32" s="391" t="s">
        <v>2338</v>
      </c>
      <c r="O32" s="61"/>
      <c r="P32" s="269"/>
      <c r="R32" s="270"/>
      <c r="S32" s="384"/>
      <c r="T32" s="439"/>
      <c r="U32" s="58"/>
      <c r="V32" s="58"/>
      <c r="W32" s="61"/>
      <c r="X32" s="269"/>
      <c r="Z32" s="481"/>
      <c r="AA32" s="482"/>
      <c r="AB32" s="483"/>
      <c r="AC32" s="484"/>
      <c r="AD32" s="485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78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344"/>
      <c r="G33" s="109"/>
      <c r="H33" s="269"/>
      <c r="J33" s="382">
        <v>46175.0</v>
      </c>
      <c r="K33" s="273" t="s">
        <v>3770</v>
      </c>
      <c r="L33" s="273" t="s">
        <v>3771</v>
      </c>
      <c r="M33" s="398" t="s">
        <v>23</v>
      </c>
      <c r="N33" s="431" t="s">
        <v>2338</v>
      </c>
      <c r="O33" s="61"/>
      <c r="P33" s="269"/>
      <c r="R33" s="270"/>
      <c r="S33" s="384"/>
      <c r="T33" s="486"/>
      <c r="U33" s="58"/>
      <c r="V33" s="58"/>
      <c r="W33" s="61"/>
      <c r="X33" s="269"/>
      <c r="Z33" s="481"/>
      <c r="AA33" s="482"/>
      <c r="AB33" s="482"/>
      <c r="AC33" s="487"/>
      <c r="AD33" s="488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89"/>
      <c r="AV33" s="298"/>
      <c r="AX33" s="270"/>
      <c r="AY33" s="450"/>
      <c r="AZ33" s="47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344"/>
      <c r="G34" s="61"/>
      <c r="H34" s="269"/>
      <c r="J34" s="380">
        <v>46175.0</v>
      </c>
      <c r="K34" s="294" t="s">
        <v>3772</v>
      </c>
      <c r="L34" s="294" t="s">
        <v>3773</v>
      </c>
      <c r="M34" s="396" t="s">
        <v>11</v>
      </c>
      <c r="N34" s="391" t="s">
        <v>2338</v>
      </c>
      <c r="O34" s="61"/>
      <c r="P34" s="269"/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78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344"/>
      <c r="G35" s="61"/>
      <c r="H35" s="269"/>
      <c r="J35" s="382">
        <v>46175.0</v>
      </c>
      <c r="K35" s="273" t="s">
        <v>3774</v>
      </c>
      <c r="L35" s="273" t="s">
        <v>3775</v>
      </c>
      <c r="M35" s="398" t="s">
        <v>21</v>
      </c>
      <c r="N35" s="431" t="s">
        <v>2338</v>
      </c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344"/>
      <c r="G36" s="61"/>
      <c r="H36" s="269"/>
      <c r="J36" s="380">
        <v>46175.0</v>
      </c>
      <c r="K36" s="294" t="s">
        <v>3776</v>
      </c>
      <c r="L36" s="294" t="s">
        <v>3777</v>
      </c>
      <c r="M36" s="396" t="s">
        <v>18</v>
      </c>
      <c r="N36" s="391" t="s">
        <v>2338</v>
      </c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78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344"/>
      <c r="G37" s="109"/>
      <c r="H37" s="269"/>
      <c r="J37" s="270">
        <v>46175.0</v>
      </c>
      <c r="K37" s="109" t="s">
        <v>3778</v>
      </c>
      <c r="L37" s="109" t="s">
        <v>3779</v>
      </c>
      <c r="M37" s="58" t="s">
        <v>11</v>
      </c>
      <c r="N37" s="58" t="s">
        <v>20</v>
      </c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/>
      <c r="C38" s="109"/>
      <c r="D38" s="373"/>
      <c r="E38" s="58"/>
      <c r="F38" s="344"/>
      <c r="G38" s="61"/>
      <c r="H38" s="269"/>
      <c r="J38" s="270">
        <v>46175.0</v>
      </c>
      <c r="K38" s="109" t="s">
        <v>3780</v>
      </c>
      <c r="L38" s="109" t="s">
        <v>3781</v>
      </c>
      <c r="M38" s="58" t="s">
        <v>11</v>
      </c>
      <c r="N38" s="58" t="s">
        <v>20</v>
      </c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78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/>
      <c r="C39" s="109"/>
      <c r="D39" s="373"/>
      <c r="E39" s="58"/>
      <c r="F39" s="344"/>
      <c r="G39" s="61"/>
      <c r="H39" s="269"/>
      <c r="J39" s="270">
        <v>46175.0</v>
      </c>
      <c r="K39" s="109" t="s">
        <v>3782</v>
      </c>
      <c r="L39" s="109" t="s">
        <v>3783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7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/>
      <c r="C40" s="109"/>
      <c r="D40" s="373"/>
      <c r="E40" s="58"/>
      <c r="F40" s="344"/>
      <c r="G40" s="109"/>
      <c r="H40" s="269"/>
      <c r="J40" s="270">
        <v>46175.0</v>
      </c>
      <c r="K40" s="109" t="s">
        <v>3784</v>
      </c>
      <c r="L40" s="109" t="s">
        <v>3785</v>
      </c>
      <c r="M40" s="58" t="s">
        <v>11</v>
      </c>
      <c r="N40" s="58" t="s">
        <v>20</v>
      </c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78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344"/>
      <c r="G41" s="61"/>
      <c r="H41" s="269"/>
      <c r="J41" s="270">
        <v>46175.0</v>
      </c>
      <c r="K41" s="109" t="s">
        <v>3786</v>
      </c>
      <c r="L41" s="109" t="s">
        <v>3787</v>
      </c>
      <c r="M41" s="58" t="s">
        <v>11</v>
      </c>
      <c r="N41" s="58" t="s">
        <v>20</v>
      </c>
      <c r="O41" s="61"/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7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/>
      <c r="C42" s="109"/>
      <c r="D42" s="373"/>
      <c r="E42" s="58"/>
      <c r="F42" s="344"/>
      <c r="G42" s="109"/>
      <c r="H42" s="269"/>
      <c r="J42" s="270">
        <v>46175.0</v>
      </c>
      <c r="K42" s="109" t="s">
        <v>3788</v>
      </c>
      <c r="L42" s="109" t="s">
        <v>3789</v>
      </c>
      <c r="M42" s="58" t="s">
        <v>11</v>
      </c>
      <c r="N42" s="58" t="s">
        <v>20</v>
      </c>
      <c r="O42" s="61"/>
      <c r="P42" s="269"/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78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344"/>
      <c r="G43" s="61"/>
      <c r="H43" s="269"/>
      <c r="J43" s="270">
        <v>46175.0</v>
      </c>
      <c r="K43" s="109" t="s">
        <v>3790</v>
      </c>
      <c r="L43" s="109" t="s">
        <v>3791</v>
      </c>
      <c r="M43" s="58" t="s">
        <v>23</v>
      </c>
      <c r="N43" s="58" t="s">
        <v>20</v>
      </c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/>
      <c r="C44" s="109"/>
      <c r="D44" s="373"/>
      <c r="E44" s="58"/>
      <c r="F44" s="344"/>
      <c r="G44" s="61"/>
      <c r="H44" s="269"/>
      <c r="J44" s="270">
        <v>46175.0</v>
      </c>
      <c r="K44" s="109" t="s">
        <v>3792</v>
      </c>
      <c r="L44" s="109" t="s">
        <v>3793</v>
      </c>
      <c r="M44" s="58" t="s">
        <v>23</v>
      </c>
      <c r="N44" s="58" t="s">
        <v>20</v>
      </c>
      <c r="O44" s="61"/>
      <c r="P44" s="269"/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/>
      <c r="C45" s="109"/>
      <c r="D45" s="373"/>
      <c r="E45" s="58"/>
      <c r="F45" s="344"/>
      <c r="G45" s="109"/>
      <c r="H45" s="269"/>
      <c r="J45" s="270">
        <v>46175.0</v>
      </c>
      <c r="K45" s="109" t="s">
        <v>3794</v>
      </c>
      <c r="L45" s="109" t="s">
        <v>3795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/>
      <c r="C46" s="109"/>
      <c r="D46" s="373"/>
      <c r="E46" s="58"/>
      <c r="F46" s="344"/>
      <c r="G46" s="61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69"/>
      <c r="AL49" s="455"/>
      <c r="AM49" s="61"/>
      <c r="AN49" s="269"/>
      <c r="AP49" s="449"/>
      <c r="AQ49" s="450"/>
      <c r="AR49" s="483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/>
      <c r="K52" s="109"/>
      <c r="L52" s="109"/>
      <c r="M52" s="58"/>
      <c r="N52" s="58"/>
      <c r="O52" s="61"/>
      <c r="P52" s="269"/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270"/>
      <c r="K54" s="109"/>
      <c r="L54" s="297"/>
      <c r="M54" s="58"/>
      <c r="N54" s="58"/>
      <c r="O54" s="109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270"/>
      <c r="K55" s="109"/>
      <c r="L55" s="109"/>
      <c r="M55" s="58"/>
      <c r="N55" s="58"/>
      <c r="O55" s="61"/>
      <c r="P55" s="269"/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344"/>
      <c r="V57" s="58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86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270"/>
      <c r="K63" s="109"/>
      <c r="L63" s="109"/>
      <c r="M63" s="344"/>
      <c r="N63" s="344"/>
      <c r="O63" s="61"/>
      <c r="P63" s="298"/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270"/>
      <c r="K64" s="109"/>
      <c r="L64" s="109"/>
      <c r="M64" s="58"/>
      <c r="N64" s="58"/>
      <c r="O64" s="61"/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/>
      <c r="K65" s="384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/>
      <c r="K66" s="384"/>
      <c r="L66" s="109"/>
      <c r="M66" s="58"/>
      <c r="N66" s="58"/>
      <c r="O66" s="61"/>
      <c r="P66" s="269"/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/>
      <c r="K67" s="109"/>
      <c r="L67" s="109"/>
      <c r="M67" s="58"/>
      <c r="N67" s="58"/>
      <c r="O67" s="61"/>
      <c r="P67" s="269"/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/>
      <c r="K68" s="109"/>
      <c r="L68" s="109"/>
      <c r="M68" s="58"/>
      <c r="N68" s="58"/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/>
      <c r="K69" s="109"/>
      <c r="L69" s="109"/>
      <c r="M69" s="58"/>
      <c r="N69" s="58"/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/>
      <c r="K71" s="109"/>
      <c r="L71" s="109"/>
      <c r="M71" s="58"/>
      <c r="N71" s="58"/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/>
      <c r="K73" s="109"/>
      <c r="L73" s="109"/>
      <c r="M73" s="58"/>
      <c r="N73" s="58"/>
      <c r="O73" s="61"/>
      <c r="P73" s="269"/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3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4"/>
      <c r="AA83" s="483"/>
      <c r="AB83" s="483"/>
      <c r="AC83" s="495"/>
      <c r="AD83" s="496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3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3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498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