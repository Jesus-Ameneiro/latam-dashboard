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June!$AH$1:$AN$995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tc={e232c2cc-bcaa-441f-b7e5-d2efa2b93daa}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232c2cc-bcaa-441f-b7e5-d2efa2b93da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<sst xmlns="http://schemas.openxmlformats.org/spreadsheetml/2006/main" count="10640" uniqueCount="4836">
  <si>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</si>
  <si>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</si>
  <si>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</si>
  <si>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</si>
  <si>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</si>
  <si>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</si>
  <si>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</si>
  <si>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</si>
  <si>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</si>
  <si>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</si>
  <si>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</si>
  <si>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</si>
  <si>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</si>
  <si>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</si>
  <si>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</si>
  <si>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</si>
  <si>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</si>
  <si>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</si>
  <si>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</si>
  <si>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</si>
  <si>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</si>
  <si>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</si>
  <si>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</si>
  <si>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</si>
  <si>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</si>
  <si>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</si>
  <si>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</si>
  <si>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</si>
  <si>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</si>
  <si>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</si>
  <si>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</si>
  <si>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</si>
  <si>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</si>
  <si>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</si>
  <si>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</si>
  <si>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</si>
  <si>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</si>
  <si>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</si>
  <si>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</si>
  <si>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</si>
  <si>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</si>
  <si>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</si>
  <si>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</si>
  <si>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</si>
  <si>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</si>
  <si>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</si>
  <si>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</si>
  <si>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</si>
  <si>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</si>
  <si>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</si>
  <si>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</si>
  <si>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</si>
  <si>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</si>
  <si>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</si>
  <si>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</si>
  <si>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</si>
  <si>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</si>
  <si>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</si>
  <si>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</si>
  <si>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</si>
  <si>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</si>
  <si>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</si>
  <si>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</si>
  <si>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</si>
  <si>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</si>
  <si>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</si>
  <si>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</si>
  <si>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</si>
  <si>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</si>
  <si>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</si>
  <si>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</si>
  <si>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</si>
  <si>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</si>
  <si>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</si>
  <si>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</si>
  <si>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</si>
  <si>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</si>
  <si>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</si>
  <si>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</si>
  <si>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</si>
  <si>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</si>
  <si>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</si>
  <si>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</si>
  <si>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</si>
  <si>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</si>
  <si>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</si>
  <si>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</si>
  <si>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</si>
  <si>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</si>
  <si>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</si>
  <si>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</si>
  <si>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</si>
  <si>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</si>
  <si>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</si>
  <si>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</si>
  <si>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</si>
  <si>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</si>
  <si>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</si>
  <si>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</si>
  <si>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</si>
  <si>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</si>
  <si>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</si>
  <si>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</si>
  <si>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</si>
  <si>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</si>
  <si>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</si>
  <si>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</si>
  <si>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</si>
  <si>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</si>
  <si>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</si>
  <si>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</si>
  <si>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</si>
  <si>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</si>
  <si>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</si>
  <si>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</si>
  <si>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</si>
  <si>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</si>
  <si>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</si>
  <si>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</si>
  <si>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</si>
  <si>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</si>
  <si>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</si>
  <si>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</si>
  <si>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</si>
  <si>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</si>
  <si>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</si>
  <si>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</si>
  <si>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</si>
  <si>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</si>
  <si>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</si>
  <si>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</si>
  <si>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</si>
  <si>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</si>
  <si>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</si>
  <si>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</si>
  <si>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</si>
  <si>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</si>
  <si>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</si>
  <si>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</si>
  <si>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</si>
  <si>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</si>
  <si>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</si>
  <si>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</si>
  <si>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</si>
  <si>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</si>
  <si>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</si>
  <si>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</si>
  <si>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</si>
  <si>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</si>
  <si>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</si>
  <si>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</si>
  <si>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</si>
  <si>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</si>
  <si>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</si>
  <si>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</si>
  <si>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</si>
  <si>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</si>
  <si>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</si>
  <si>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</si>
  <si>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</si>
  <si>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</si>
  <si>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</si>
  <si>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</si>
  <si>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</si>
  <si>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</si>
  <si>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</si>
  <si>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</si>
  <si>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</si>
  <si>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</si>
  <si>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</si>
  <si>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</si>
  <si>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</si>
  <si>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</si>
  <si>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</si>
  <si>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</si>
  <si>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</si>
  <si>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</si>
  <si>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</si>
  <si>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</si>
  <si>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</si>
  <si>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</si>
  <si>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</si>
  <si>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</si>
  <si>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</si>
  <si>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</si>
  <si>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</si>
  <si>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</si>
  <si>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</si>
  <si>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</si>
  <si>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</si>
  <si>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</si>
  <si>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</si>
  <si>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</si>
  <si>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</si>
  <si>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</si>
  <si>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</si>
  <si>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</si>
  <si>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</si>
  <si>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</si>
  <si>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</si>
  <si>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</si>
  <si>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</si>
  <si>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</si>
  <si>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</si>
  <si>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</si>
  <si>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</si>
  <si>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</si>
  <si>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</si>
  <si>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</si>
  <si>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</si>
  <si>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</si>
  <si>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</si>
  <si>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</si>
  <si>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</si>
  <si>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</si>
  <si>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</si>
  <si>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</si>
  <si>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</si>
  <si>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</si>
  <si>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</si>
  <si>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</si>
  <si>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</si>
  <si>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</si>
  <si>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</si>
  <si>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</si>
  <si>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</si>
  <si>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</si>
  <si>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</si>
  <si>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</si>
  <si>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</si>
  <si>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</si>
  <si>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</si>
  <si>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</si>
  <si>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</si>
  <si>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</si>
  <si>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</si>
  <si>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</si>
  <si>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</si>
  <si>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</si>
  <si>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</si>
  <si>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</si>
  <si>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</si>
  <si>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</si>
  <si>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</si>
  <si>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</si>
  <si>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</si>
  <si>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</si>
  <si>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</si>
  <si>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</si>
  <si>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</si>
  <si>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</si>
  <si>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</si>
  <si>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</si>
  <si>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</si>
  <si>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</si>
  <si>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</si>
  <si>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</si>
  <si>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</si>
  <si>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</si>
  <si>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</si>
  <si>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</si>
  <si>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</si>
  <si>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</si>
  <si>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</si>
  <si>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</si>
  <si>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</si>
  <si>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</si>
  <si>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</si>
  <si>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</si>
  <si>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</si>
  <si>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</si>
  <si>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</si>
  <si>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</si>
  <si>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</si>
  <si>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</si>
  <si>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</si>
  <si>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</si>
  <si>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</si>
  <si>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</si>
  <si>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</si>
  <si>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</si>
  <si>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</si>
  <si>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</si>
  <si>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</si>
  <si>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</si>
  <si>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</si>
  <si>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</si>
  <si>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</si>
  <si>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</si>
  <si>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</si>
  <si>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</si>
  <si>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</si>
  <si>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</si>
  <si>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</si>
  <si>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</si>
  <si>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</si>
  <si>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</si>
  <si>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</si>
  <si>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</si>
  <si>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</si>
  <si>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</si>
  <si>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</si>
  <si>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</si>
  <si>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</si>
  <si>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</si>
  <si>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</si>
  <si>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</si>
  <si>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</si>
  <si>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</si>
  <si>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</si>
  <si>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</si>
  <si>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</si>
  <si>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</si>
  <si>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</si>
  <si>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</si>
  <si>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</si>
  <si>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</si>
  <si>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</si>
  <si>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</si>
  <si>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</si>
  <si>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</si>
  <si>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</si>
  <si>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</si>
  <si>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</si>
  <si>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</si>
  <si>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</si>
  <si>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</si>
  <si>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</si>
  <si>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</si>
  <si>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</si>
  <si>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</si>
  <si>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</si>
  <si>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</si>
  <si>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</si>
  <si>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</si>
  <si>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</si>
  <si>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</si>
  <si>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</si>
  <si>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</si>
  <si>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</si>
  <si>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</si>
  <si>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</si>
  <si>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</si>
  <si>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</si>
  <si>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</si>
  <si>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</si>
  <si>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</si>
  <si>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</si>
  <si>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</si>
  <si>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</si>
  <si>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</si>
  <si>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</si>
  <si>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</si>
  <si>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</si>
  <si>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</si>
  <si>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</si>
  <si>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</si>
  <si>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</si>
  <si>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</si>
  <si>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</si>
  <si>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</si>
  <si>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</si>
  <si>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</si>
  <si>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</si>
  <si>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</si>
  <si>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</si>
  <si>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</si>
  <si>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</si>
  <si>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</si>
  <si>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</si>
  <si>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</si>
  <si>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</si>
  <si>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</si>
  <si>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</si>
  <si>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</si>
  <si>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</si>
  <si>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</si>
  <si>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</si>
  <si>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</si>
  <si>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</si>
  <si>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</si>
  <si>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</si>
  <si>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</si>
  <si>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</si>
  <si>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</si>
  <si>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</si>
  <si>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</si>
  <si>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</si>
  <si>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</si>
  <si>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</si>
  <si>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</si>
  <si>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</si>
  <si>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</si>
  <si>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</si>
  <si>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</si>
  <si>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</si>
  <si>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</si>
  <si>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</si>
  <si>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</si>
  <si>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</si>
  <si>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</si>
  <si>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</si>
  <si>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</si>
  <si>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</si>
  <si>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</si>
  <si>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</si>
  <si>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</si>
  <si>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</si>
  <si>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</si>
  <si>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</si>
  <si>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</si>
  <si>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</si>
  <si>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</si>
  <si>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</si>
  <si>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</si>
  <si>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</si>
  <si>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</si>
  <si>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</si>
  <si>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</si>
  <si>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</si>
  <si>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</si>
  <si>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</si>
  <si>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</si>
  <si>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</si>
  <si>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</si>
  <si>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</si>
  <si>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</si>
  <si>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</si>
  <si>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</si>
  <si>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</si>
  <si>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</si>
  <si>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</si>
  <si>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</si>
  <si>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</si>
  <si>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</si>
  <si>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</si>
  <si>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</si>
  <si>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</si>
  <si>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</si>
  <si>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</si>
  <si>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</si>
  <si>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</si>
  <si>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</si>
  <si>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</si>
  <si>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</si>
  <si>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</si>
  <si>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</si>
  <si>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</si>
  <si>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</si>
  <si>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</si>
  <si>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</si>
  <si>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</si>
  <si>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</si>
  <si>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</si>
  <si>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</si>
  <si>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</si>
  <si>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</si>
  <si>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</si>
  <si>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</si>
  <si>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</si>
  <si>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</si>
  <si>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</si>
  <si>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</si>
  <si>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</si>
  <si>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</si>
  <si>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</si>
  <si>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</si>
  <si>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</si>
  <si>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</si>
  <si>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</si>
  <si>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</si>
  <si>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</si>
  <si>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</si>
  <si>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</si>
  <si>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</si>
  <si>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</si>
  <si>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</si>
  <si>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</si>
  <si>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</si>
  <si>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</si>
  <si>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</si>
  <si>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</si>
  <si>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</si>
  <si>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</si>
  <si>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</si>
  <si>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</si>
  <si>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</si>
  <si>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</si>
  <si>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</si>
  <si>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</si>
  <si>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</si>
  <si>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</si>
  <si>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</si>
  <si>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</si>
  <si>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</si>
  <si>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</si>
  <si>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</si>
  <si>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</si>
  <si>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</si>
  <si>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</si>
  <si>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</si>
  <si>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</si>
  <si>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</si>
  <si>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</si>
  <si>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</si>
  <si>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</si>
  <si>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</si>
  <si>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</si>
  <si>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</si>
  <si>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</si>
  <si>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</si>
  <si>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</si>
  <si>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</si>
  <si>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</si>
  <si>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</si>
  <si>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</si>
  <si>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</si>
  <si>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</si>
  <si>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</si>
  <si>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</si>
  <si>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</si>
  <si>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</si>
  <si>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</si>
  <si>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</si>
  <si>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</si>
  <si>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</si>
  <si>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</si>
  <si>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</si>
  <si>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</si>
  <si>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</si>
  <si>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</si>
  <si>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</si>
  <si>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</si>
  <si>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</si>
  <si>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</si>
  <si>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</si>
  <si>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</si>
  <si>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</si>
  <si>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</si>
  <si>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</si>
  <si>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</si>
  <si>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</si>
  <si>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</si>
  <si>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</si>
  <si>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</si>
  <si>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</si>
  <si>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</si>
  <si>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</si>
  <si>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</si>
  <si>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</si>
  <si>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</si>
  <si>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</si>
  <si>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</si>
  <si>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</si>
  <si>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</si>
  <si>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</si>
  <si>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</si>
  <si>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</si>
  <si>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</si>
  <si>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</si>
  <si>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</si>
  <si>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</si>
  <si>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</si>
  <si>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</si>
  <si>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</si>
  <si>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</si>
  <si>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</si>
  <si>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</si>
  <si>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</si>
  <si>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</si>
  <si>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</si>
  <si>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</si>
  <si>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</si>
  <si>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</si>
  <si>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</si>
  <si>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</si>
  <si>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</si>
  <si>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</si>
  <si>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</si>
  <si>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</si>
  <si>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</si>
  <si>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</si>
  <si>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</si>
  <si>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</si>
  <si>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</si>
  <si>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</si>
  <si>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</si>
  <si>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</si>
  <si>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</si>
  <si>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</si>
  <si>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</si>
  <si>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</si>
  <si>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</si>
  <si>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</si>
  <si>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</si>
  <si>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</si>
  <si>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</si>
  <si>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</si>
  <si>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</si>
  <si>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</si>
  <si>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</si>
  <si>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</si>
  <si>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</si>
  <si>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</si>
  <si>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</si>
  <si>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</si>
  <si>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</si>
  <si>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</si>
  <si>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</si>
  <si>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</si>
  <si>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</si>
  <si>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</si>
  <si>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</si>
  <si>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</si>
  <si>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</si>
  <si>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</si>
  <si>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</si>
  <si>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</si>
  <si>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</si>
  <si>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</si>
  <si>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</si>
  <si>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</si>
  <si>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</si>
  <si>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</si>
  <si>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</si>
  <si>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</si>
  <si>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</si>
  <si>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</si>
  <si>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</si>
  <si>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</si>
  <si>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</si>
  <si>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</si>
  <si>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</si>
  <si>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</si>
  <si>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</si>
  <si>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</si>
  <si>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</si>
  <si>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</si>
  <si>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</si>
  <si>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</si>
  <si>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</si>
  <si>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</si>
  <si>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</si>
  <si>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</si>
  <si>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</si>
  <si>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</si>
  <si>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</si>
  <si>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</si>
  <si>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</si>
  <si>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</si>
  <si>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</si>
  <si>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</si>
  <si>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</si>
  <si>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</si>
  <si>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</si>
  <si>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</si>
  <si>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</si>
  <si>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</si>
  <si>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</si>
  <si>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</si>
  <si>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</si>
  <si>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</si>
  <si>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</si>
  <si>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</si>
  <si>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</si>
  <si>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</si>
  <si>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</si>
  <si>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</si>
  <si>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</si>
  <si>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</si>
  <si>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</si>
  <si>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</si>
  <si>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</si>
  <si>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</si>
  <si>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</si>
  <si>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</si>
  <si>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</si>
  <si>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</si>
  <si>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</si>
  <si>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</si>
  <si>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</si>
  <si>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</si>
  <si>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</si>
  <si>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</si>
  <si>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</si>
  <si>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</si>
  <si>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</si>
  <si>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</si>
  <si>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</si>
  <si>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</si>
  <si>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</si>
  <si>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</si>
  <si>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</si>
  <si>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</si>
  <si>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</si>
  <si>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</si>
  <si>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</si>
  <si>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</si>
  <si>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</si>
  <si>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</si>
  <si>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</si>
  <si>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</si>
  <si>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</si>
  <si>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</si>
  <si>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</si>
  <si>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</si>
  <si>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</si>
  <si>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</si>
  <si>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</si>
  <si>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</si>
  <si>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</si>
  <si>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</si>
  <si>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</si>
  <si>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</si>
  <si>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</si>
  <si>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</si>
  <si>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</si>
  <si>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</si>
  <si>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</si>
  <si>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</si>
  <si>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</si>
  <si>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</si>
  <si>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</si>
  <si>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</si>
  <si>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</si>
  <si>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</si>
  <si>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</si>
  <si>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</si>
  <si>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</si>
  <si>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</si>
  <si>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</si>
  <si>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</si>
  <si>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</si>
  <si>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</si>
  <si>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</si>
  <si>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</si>
  <si>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</si>
  <si>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</si>
  <si>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</si>
  <si>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</si>
  <si>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</si>
  <si>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</si>
  <si>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</si>
  <si>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</si>
  <si>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</si>
  <si>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</si>
  <si>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</si>
  <si>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</si>
  <si>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</si>
  <si>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</si>
  <si>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</si>
  <si>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</si>
  <si>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</si>
  <si>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</si>
  <si>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</si>
  <si>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</si>
  <si>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</si>
  <si>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</si>
  <si>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</si>
  <si>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</si>
  <si>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</si>
  <si>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</si>
  <si>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</si>
  <si>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</si>
  <si>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</si>
  <si>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</si>
  <si>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</si>
  <si>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</si>
  <si>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</si>
  <si>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</si>
  <si>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</si>
  <si>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</si>
  <si>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</si>
  <si>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</si>
  <si>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</si>
  <si>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</si>
  <si>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</si>
  <si>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</si>
  <si>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</si>
  <si>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</si>
  <si>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</si>
  <si>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</si>
  <si>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</si>
  <si>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</si>
  <si>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</si>
  <si>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</si>
  <si>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</si>
  <si>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</si>
  <si>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</si>
  <si>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</si>
  <si>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</si>
  <si>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</si>
  <si>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</si>
  <si>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</si>
  <si>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</si>
  <si>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</si>
  <si>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</si>
  <si>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</si>
  <si>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</si>
  <si>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</si>
  <si>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</si>
  <si>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</si>
  <si>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</si>
  <si>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</si>
  <si>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</si>
  <si>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</si>
  <si>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</si>
  <si>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</si>
  <si>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</si>
  <si>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</si>
  <si>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</si>
  <si>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</si>
  <si>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</si>
  <si>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</si>
  <si>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</si>
  <si>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</si>
  <si>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</si>
  <si>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</si>
  <si>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</si>
  <si>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</si>
  <si>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</si>
  <si>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</si>
  <si>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</si>
  <si>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</si>
  <si>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</si>
  <si>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</si>
  <si>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</si>
  <si>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</si>
  <si>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</si>
  <si>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</si>
  <si>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</si>
  <si>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</si>
  <si>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</si>
  <si>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</si>
  <si>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</si>
  <si>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</si>
  <si>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</si>
  <si>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</si>
  <si>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</si>
  <si>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</si>
  <si>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</si>
  <si>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</si>
  <si>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</si>
  <si>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</si>
  <si>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</si>
  <si>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</si>
  <si>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</si>
  <si>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</si>
  <si>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</si>
  <si>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</si>
  <si>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</si>
  <si>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</si>
  <si>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</si>
  <si>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</si>
  <si>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</si>
  <si>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</si>
  <si>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</si>
  <si>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</si>
  <si>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</si>
  <si>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</si>
  <si>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</si>
  <si>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</si>
  <si>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</si>
  <si>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</si>
  <si>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</si>
  <si>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</si>
  <si>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</si>
  <si>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</si>
  <si>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</si>
  <si>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</si>
  <si>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</si>
  <si>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</si>
  <si>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</si>
  <si>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</si>
  <si>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</si>
  <si>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</si>
  <si>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</si>
  <si>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</si>
  <si>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</si>
  <si>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</si>
  <si>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</si>
  <si>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</si>
  <si>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</si>
  <si>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</si>
  <si>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</si>
  <si>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</si>
  <si>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</si>
  <si>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</si>
  <si>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</si>
  <si>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</si>
  <si>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</si>
  <si>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</si>
  <si>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</si>
  <si>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</si>
  <si>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</si>
  <si>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</si>
  <si>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</si>
  <si>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</si>
  <si>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</si>
  <si>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</si>
  <si>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</si>
  <si>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</si>
  <si>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</si>
  <si>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</si>
  <si>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</si>
  <si>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</si>
  <si>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</si>
  <si>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</si>
  <si>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</si>
  <si>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</si>
  <si>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</si>
  <si>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</si>
  <si>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</si>
  <si>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</si>
  <si>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</si>
  <si>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</si>
  <si>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</si>
  <si>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</si>
  <si>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</si>
  <si>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</si>
  <si>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</si>
  <si>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</si>
  <si>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</si>
  <si>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</si>
  <si>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</si>
  <si>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</si>
  <si>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</si>
  <si>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</si>
  <si>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</si>
  <si>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</si>
  <si>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</si>
  <si>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</si>
  <si>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</si>
  <si>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</si>
  <si>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</si>
  <si>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</si>
  <si>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</si>
  <si>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</si>
  <si>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</si>
  <si>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</si>
  <si>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</si>
  <si>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</si>
  <si>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</si>
  <si>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</si>
  <si>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</si>
  <si>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</si>
  <si>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</si>
  <si>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</si>
  <si>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</si>
  <si>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</si>
  <si>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</si>
  <si>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</si>
  <si>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</si>
  <si>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</si>
  <si>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</si>
  <si>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</si>
  <si>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</si>
  <si>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</si>
  <si>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</si>
  <si>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</si>
  <si>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</si>
  <si>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</si>
  <si>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</si>
  <si>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</si>
  <si>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</si>
  <si>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</si>
  <si>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</si>
  <si>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</si>
  <si>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</si>
  <si>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</si>
  <si>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</si>
  <si>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</si>
  <si>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</si>
  <si>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</si>
  <si>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</si>
  <si>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</si>
  <si>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</si>
  <si>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</si>
  <si>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</si>
  <si>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</si>
  <si>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</si>
  <si>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</si>
  <si>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</si>
  <si>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</si>
  <si>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</si>
  <si>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</si>
  <si>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</si>
  <si>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</si>
  <si>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</si>
  <si>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</si>
  <si>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</si>
  <si>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</si>
  <si>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</si>
  <si>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</si>
  <si>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</si>
  <si>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</si>
  <si>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</si>
  <si>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</si>
  <si>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</si>
  <si>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</si>
  <si>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</si>
  <si>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</si>
  <si>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</si>
  <si>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</si>
  <si>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</si>
  <si>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</si>
  <si>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</si>
  <si>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</si>
  <si>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</si>
  <si>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</si>
  <si>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</si>
  <si>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</si>
  <si>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</si>
  <si>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</si>
  <si>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</si>
  <si>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</si>
  <si>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</si>
  <si>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</si>
  <si>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</si>
  <si>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</si>
  <si>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</si>
  <si>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</si>
  <si>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</si>
  <si>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</si>
  <si>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</si>
  <si>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</si>
  <si>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</si>
  <si>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</si>
  <si>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</si>
  <si>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</si>
  <si>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</si>
  <si>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</si>
  <si>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</si>
  <si>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</si>
  <si>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</si>
  <si>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</si>
  <si>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</si>
  <si>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</si>
  <si>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</si>
  <si>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</si>
  <si>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</si>
  <si>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</si>
  <si>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</si>
  <si>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</si>
  <si>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</si>
  <si>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</si>
  <si>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</si>
  <si>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</si>
  <si>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</si>
  <si>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</si>
  <si>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</si>
  <si>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</si>
  <si>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</si>
  <si>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</si>
  <si>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</si>
  <si>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</si>
  <si>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</si>
  <si>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</si>
  <si>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</si>
  <si>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</si>
  <si>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</si>
  <si>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</si>
  <si>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</si>
  <si>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</si>
  <si>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</si>
  <si>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</si>
  <si>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</si>
  <si>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</si>
  <si>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</si>
  <si>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</si>
  <si>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</si>
  <si>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</si>
  <si>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</si>
  <si>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</si>
  <si>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</si>
  <si>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</si>
  <si>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</si>
  <si>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</si>
  <si>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</si>
  <si>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</si>
  <si>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</si>
  <si>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</si>
  <si>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</si>
  <si>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</si>
  <si>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</si>
  <si>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</si>
  <si>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</si>
  <si>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</si>
  <si>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</si>
  <si>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</si>
  <si>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</si>
  <si>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</si>
  <si>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</si>
  <si>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</si>
  <si>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</si>
  <si>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</si>
  <si>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</si>
  <si>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</si>
  <si>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</si>
  <si>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</si>
  <si>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</si>
  <si>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</si>
  <si>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</si>
  <si>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</si>
  <si>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</si>
  <si>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</si>
  <si>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</si>
  <si>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</si>
  <si>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</si>
  <si>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</si>
  <si>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</si>
  <si>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</si>
  <si>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</si>
  <si>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</si>
  <si>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</si>
  <si>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</si>
  <si>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</si>
  <si>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</si>
  <si>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</si>
  <si>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</si>
  <si>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</si>
  <si>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</si>
  <si>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</si>
  <si>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</si>
  <si>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</si>
  <si>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</si>
  <si>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</si>
  <si>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</si>
  <si>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</si>
  <si>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</si>
  <si>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</si>
  <si>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</si>
  <si>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</si>
  <si>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</si>
  <si>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</si>
  <si>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</si>
  <si>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</si>
  <si>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</si>
  <si>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</si>
  <si>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</si>
  <si>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</si>
  <si>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</si>
  <si>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</si>
  <si>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</si>
  <si>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</si>
  <si>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</si>
  <si>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</si>
  <si>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</si>
  <si>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</si>
  <si>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</si>
  <si>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</si>
  <si>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</si>
  <si>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</si>
  <si>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</si>
  <si>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</si>
  <si>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</si>
  <si>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</si>
  <si>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</si>
  <si>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</si>
  <si>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</si>
  <si>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</si>
  <si>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</si>
  <si>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</si>
  <si>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</si>
  <si>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</si>
  <si>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</si>
  <si>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</si>
  <si>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</si>
  <si>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</si>
  <si>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</si>
  <si>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</si>
  <si>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</si>
  <si>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</si>
  <si>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</si>
  <si>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</si>
  <si>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</si>
  <si>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</si>
  <si>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</si>
  <si>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</si>
  <si>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</si>
  <si>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</si>
  <si>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</si>
  <si>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</si>
  <si>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</si>
  <si>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</si>
  <si>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</si>
  <si>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</si>
  <si>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</si>
  <si>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</si>
  <si>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</si>
  <si>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</si>
  <si>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</si>
  <si>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</si>
  <si>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</si>
  <si>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</si>
  <si>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</si>
  <si>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</si>
  <si>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</si>
  <si>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</si>
  <si>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</si>
  <si>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</si>
  <si>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</si>
  <si>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</si>
  <si>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</si>
  <si>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</si>
  <si>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</si>
  <si>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</si>
  <si>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</si>
  <si>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</si>
  <si>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</si>
  <si>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</si>
  <si>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</si>
  <si>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</si>
  <si>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</si>
  <si>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</si>
  <si>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</si>
  <si>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</si>
  <si>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</si>
  <si>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</si>
  <si>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</si>
  <si>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</si>
  <si>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</si>
  <si>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</si>
  <si>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</si>
  <si>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</si>
  <si>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</si>
  <si>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</si>
  <si>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</si>
  <si>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</si>
  <si>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</si>
  <si>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</si>
  <si>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</si>
  <si>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</si>
  <si>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</si>
  <si>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</si>
  <si>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</si>
  <si>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</si>
  <si>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</si>
  <si>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</si>
  <si>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</si>
  <si>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</si>
  <si>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</si>
  <si>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</si>
  <si>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</si>
  <si>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</si>
  <si>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</si>
  <si>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</si>
  <si>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</si>
  <si>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</si>
  <si>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</si>
  <si>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</si>
  <si>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</si>
  <si>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</si>
  <si>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</si>
  <si>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</si>
  <si>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</si>
  <si>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</si>
  <si>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</si>
  <si>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</si>
  <si>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</si>
  <si>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</si>
  <si>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</si>
  <si>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</si>
  <si>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</si>
  <si>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</si>
  <si>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</si>
  <si>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</si>
  <si>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</si>
  <si>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</si>
  <si>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</si>
  <si>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</si>
  <si>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</si>
  <si>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</si>
  <si>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</si>
  <si>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</si>
  <si>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</si>
  <si>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</si>
  <si>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</si>
  <si>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</si>
  <si>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</si>
  <si>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</si>
  <si>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</si>
  <si>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</si>
  <si>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</si>
  <si>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</si>
  <si>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</si>
  <si>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</si>
  <si>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</si>
  <si>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</si>
  <si>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</si>
  <si>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</si>
  <si>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</si>
  <si>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</si>
  <si>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</si>
  <si>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</si>
  <si>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</si>
  <si>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</si>
  <si>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</si>
  <si>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</si>
  <si>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</si>
  <si>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</si>
  <si>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</si>
  <si>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</si>
  <si>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</si>
  <si>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</si>
  <si>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</si>
  <si>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</si>
  <si>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</si>
  <si>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</si>
  <si>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</si>
  <si>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</si>
  <si>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</si>
  <si>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</si>
  <si>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</si>
  <si>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</si>
  <si>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</si>
  <si>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</si>
  <si>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</si>
  <si>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</si>
  <si>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</si>
  <si>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</si>
  <si>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</si>
  <si>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</si>
  <si>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</si>
  <si>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</si>
  <si>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</si>
  <si>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</si>
  <si>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</si>
  <si>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</si>
  <si>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</si>
  <si>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</si>
  <si>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</si>
  <si>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</si>
  <si>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</si>
  <si>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</si>
  <si>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</si>
  <si>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</si>
  <si>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</si>
  <si>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</si>
  <si>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</si>
  <si>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</si>
  <si>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</si>
  <si>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</si>
  <si>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</si>
  <si>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</si>
  <si>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</si>
  <si>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</si>
  <si>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</si>
  <si>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</si>
  <si>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</si>
  <si>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</si>
  <si>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</si>
  <si>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</si>
  <si>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</si>
  <si>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</si>
  <si>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</si>
  <si>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</si>
  <si>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</si>
  <si>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</si>
  <si>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</si>
  <si>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</si>
  <si>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</si>
  <si>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</si>
  <si>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</si>
  <si>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</si>
  <si>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</si>
  <si>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</si>
  <si>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</si>
  <si>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</si>
  <si>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</si>
  <si>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</si>
  <si>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</si>
  <si>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</si>
  <si>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</si>
  <si>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</si>
  <si>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</si>
  <si>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</si>
  <si>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</si>
  <si>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</si>
  <si>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</si>
  <si>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</si>
  <si>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</si>
  <si>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</si>
  <si>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</si>
  <si>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</si>
  <si>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</si>
  <si>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</si>
  <si>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</si>
  <si>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</si>
  <si>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</si>
  <si>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</si>
  <si>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</si>
  <si>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</si>
  <si>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</si>
  <si>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</si>
  <si>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</si>
  <si>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</si>
  <si>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</si>
  <si>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</si>
  <si>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</si>
  <si>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</si>
  <si>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</si>
  <si>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</si>
  <si>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</si>
  <si>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</si>
  <si>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</si>
  <si>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</si>
  <si>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</si>
  <si>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</si>
  <si>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</si>
  <si>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</si>
  <si>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</si>
  <si>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</si>
  <si>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</si>
  <si>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</si>
  <si>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</si>
  <si>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</si>
  <si>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</si>
  <si>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</si>
  <si>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</si>
  <si>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</si>
  <si>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</si>
  <si>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</si>
  <si>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</si>
  <si>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</si>
  <si>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</si>
  <si>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</si>
  <si>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</si>
  <si>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</si>
  <si>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</si>
  <si>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</si>
  <si>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</si>
  <si>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</si>
  <si>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</si>
  <si>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</si>
  <si>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</si>
  <si>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</si>
  <si>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</si>
  <si>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</si>
  <si>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</si>
  <si>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</si>
  <si>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</si>
  <si>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</si>
  <si>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</si>
  <si>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</si>
  <si>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</si>
  <si>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</si>
  <si>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</si>
  <si>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</si>
  <si>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</si>
  <si>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</si>
  <si>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</si>
  <si>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</si>
  <si>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</si>
  <si>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</si>
  <si>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</si>
  <si>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</si>
  <si>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</si>
  <si>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</si>
  <si>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</si>
  <si>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</si>
  <si>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</si>
  <si>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</si>
  <si>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</si>
  <si>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</si>
  <si>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</si>
  <si>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</si>
  <si>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</si>
  <si>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</si>
  <si>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</si>
  <si>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</si>
  <si>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</si>
  <si>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</si>
  <si>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</si>
  <si>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</si>
  <si>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</si>
  <si>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</si>
  <si>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</si>
  <si>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</si>
  <si>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</si>
  <si>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</si>
  <si>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</si>
  <si>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</si>
  <si>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</si>
  <si>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</si>
  <si>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</si>
  <si>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</si>
  <si>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</si>
  <si>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</si>
  <si>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</si>
  <si>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</si>
  <si>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</si>
  <si>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</si>
  <si>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</si>
  <si>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</si>
  <si>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</si>
  <si>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</si>
  <si>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</si>
  <si>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</si>
  <si>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</si>
  <si>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</si>
  <si>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</si>
  <si>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</si>
  <si>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</si>
  <si>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</si>
  <si>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</si>
  <si>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</si>
  <si>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</si>
  <si>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</si>
  <si>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</si>
  <si>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</si>
  <si>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</si>
  <si>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</si>
  <si>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</si>
  <si>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</si>
  <si>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</si>
  <si>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</si>
  <si>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</si>
  <si>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</si>
  <si>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</si>
  <si>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</si>
  <si>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</si>
  <si>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</si>
  <si>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</si>
  <si>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</si>
  <si>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</si>
  <si>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</si>
  <si>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</si>
  <si>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</si>
  <si>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</si>
  <si>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</si>
  <si>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</si>
  <si>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</si>
  <si>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</si>
  <si>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</si>
  <si>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</si>
  <si>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</si>
  <si>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</si>
  <si>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</si>
  <si>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</si>
  <si>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</si>
  <si>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</si>
  <si>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</si>
  <si>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</si>
  <si>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</si>
  <si>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</si>
  <si>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</si>
  <si>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</si>
  <si>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</si>
  <si>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</si>
  <si>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</si>
  <si>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</si>
  <si>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</si>
  <si>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</si>
  <si>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</si>
  <si>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</si>
  <si>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</si>
  <si>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</si>
  <si>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</si>
  <si>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</si>
  <si>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</si>
  <si>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</si>
  <si>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</si>
  <si>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</si>
  <si>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</si>
  <si>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</si>
  <si>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</si>
  <si>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</si>
  <si>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</si>
  <si>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</si>
  <si>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</si>
  <si>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</si>
  <si>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</si>
  <si>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</si>
  <si>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</si>
  <si>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</si>
  <si>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</si>
  <si>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</si>
  <si>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</si>
  <si>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</si>
  <si>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</si>
  <si>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</si>
  <si>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</si>
  <si>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</si>
  <si>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</si>
  <si>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</si>
  <si>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</si>
  <si>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</si>
  <si>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</si>
  <si>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</si>
  <si>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</si>
  <si>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</si>
  <si>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</si>
  <si>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</si>
  <si>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</si>
  <si>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</si>
  <si>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</si>
  <si>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</si>
  <si>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</si>
  <si>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</si>
  <si>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</si>
  <si>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</si>
  <si>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</si>
  <si>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</si>
  <si>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</si>
  <si>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</si>
  <si>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</si>
  <si>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</si>
  <si>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</si>
  <si>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</si>
  <si>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</si>
  <si>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</si>
  <si>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</si>
  <si>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</si>
  <si>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</si>
  <si>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</si>
  <si>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</si>
  <si>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</si>
  <si>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</si>
  <si>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</si>
  <si>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</si>
  <si>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</si>
  <si>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</si>
  <si>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</si>
  <si>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</si>
  <si>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</si>
  <si>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</si>
  <si>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</si>
  <si>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</si>
  <si>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</si>
  <si>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</si>
  <si>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</si>
  <si>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</si>
  <si>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</si>
  <si>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</si>
  <si>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</si>
  <si>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</si>
  <si>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</si>
  <si>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</si>
  <si>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</si>
  <si>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</si>
  <si>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</si>
  <si>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</si>
  <si>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</si>
  <si>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</si>
  <si>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</si>
  <si>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</si>
  <si>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</si>
  <si>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</si>
  <si>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</si>
  <si>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</si>
  <si>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</si>
  <si>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</si>
  <si>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</si>
  <si>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</si>
  <si>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</si>
  <si>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</si>
  <si>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</si>
  <si>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</si>
  <si>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</si>
  <si>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</si>
  <si>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</si>
  <si>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</si>
  <si>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</si>
  <si>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</si>
  <si>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</si>
  <si>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</si>
  <si>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</si>
  <si>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</si>
  <si>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</si>
  <si>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</si>
  <si>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</si>
  <si>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</si>
  <si>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</si>
  <si>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</si>
  <si>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</si>
  <si>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</si>
  <si>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</si>
  <si>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</si>
  <si>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</si>
  <si>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</si>
  <si>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</si>
  <si>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</si>
  <si>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</si>
  <si>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</si>
  <si>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</si>
  <si>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</si>
  <si>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</si>
  <si>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</si>
  <si>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</si>
  <si>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</si>
  <si>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</si>
  <si>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</si>
  <si>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</si>
  <si>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</si>
  <si>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</si>
  <si>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</si>
  <si>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</si>
  <si>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</si>
  <si>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</si>
  <si>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</si>
  <si>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</si>
  <si>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</si>
  <si>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</si>
  <si>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</si>
  <si>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</si>
  <si>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</si>
  <si>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</si>
  <si>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</si>
  <si>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</si>
  <si>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</si>
  <si>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</si>
  <si>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</si>
  <si>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</si>
  <si>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</si>
  <si>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</si>
  <si>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</si>
  <si>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</si>
  <si>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</si>
  <si>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</si>
  <si>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</si>
  <si>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</si>
  <si>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</si>
  <si>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</si>
  <si>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</si>
  <si>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</si>
  <si>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</si>
  <si>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</si>
  <si>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</si>
  <si>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</si>
  <si>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</si>
  <si>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</si>
  <si>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</si>
  <si>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</si>
  <si>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</si>
  <si>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</si>
  <si>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</si>
  <si>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</si>
  <si>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</si>
  <si>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</si>
  <si>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</si>
  <si>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</si>
  <si>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</si>
  <si>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</si>
  <si>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</si>
  <si>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</si>
  <si>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</si>
  <si>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</si>
  <si>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</si>
  <si>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</si>
  <si>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</si>
  <si>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</si>
  <si>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</si>
  <si>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</si>
  <si>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</si>
  <si>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</si>
  <si>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</si>
  <si>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</si>
  <si>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</si>
  <si>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</si>
  <si>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</si>
  <si>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</si>
  <si>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</si>
  <si>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</si>
  <si>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</si>
  <si>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</si>
  <si>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</si>
  <si>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</si>
  <si>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</si>
  <si>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</si>
  <si>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</si>
  <si>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</si>
  <si>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</si>
  <si>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</si>
  <si>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</si>
  <si>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</si>
  <si>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</si>
  <si>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</si>
  <si>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</si>
  <si>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</si>
  <si>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</si>
  <si>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</si>
  <si>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</si>
  <si>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</si>
  <si>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</si>
  <si>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</si>
  <si>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</si>
  <si>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</si>
  <si>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</si>
  <si>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</si>
  <si>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</si>
  <si>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</si>
  <si>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</si>
  <si>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</si>
  <si>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</si>
  <si>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</si>
  <si>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</si>
  <si>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</si>
  <si>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</si>
  <si>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</si>
  <si>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</si>
  <si>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</si>
  <si>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</si>
  <si>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</si>
  <si>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</si>
  <si>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</si>
  <si>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</si>
  <si>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</si>
  <si>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</si>
  <si>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</si>
  <si>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</si>
  <si>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</si>
  <si>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</si>
  <si>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</si>
  <si>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</si>
  <si>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</si>
  <si>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</si>
  <si>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</si>
  <si>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</si>
  <si>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</si>
  <si>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</si>
  <si>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</si>
  <si>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</si>
  <si>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</si>
  <si>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</si>
  <si>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</si>
  <si>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</si>
  <si>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</si>
  <si>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</si>
  <si>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</si>
  <si>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</si>
  <si>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</si>
  <si>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</si>
  <si>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</si>
  <si>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</si>
  <si>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</si>
  <si>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</si>
  <si>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</si>
  <si>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</si>
  <si>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</si>
  <si>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</si>
  <si>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</si>
  <si>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</si>
  <si>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</si>
  <si>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</si>
  <si>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</si>
  <si>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</si>
  <si>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</si>
  <si>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</si>
  <si>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</si>
  <si>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</si>
  <si>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</si>
  <si>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</si>
  <si>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</si>
  <si>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</si>
  <si>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</si>
  <si>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</si>
  <si>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</si>
  <si>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</si>
  <si>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</si>
  <si>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</si>
  <si>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</si>
  <si>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</si>
  <si>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</si>
  <si>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</si>
  <si>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</si>
  <si>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</si>
  <si>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</si>
  <si>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</si>
  <si>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</si>
  <si>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</si>
  <si>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</si>
  <si>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</si>
  <si>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</si>
  <si>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</si>
  <si>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</si>
  <si>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</si>
  <si>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</si>
  <si>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</si>
  <si>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</si>
  <si>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</si>
  <si>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</si>
  <si>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</si>
  <si>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</si>
  <si>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</si>
  <si>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</si>
  <si>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</si>
  <si>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</si>
  <si>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</si>
  <si>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</si>
  <si>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</si>
  <si>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</si>
  <si>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</si>
  <si>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</si>
  <si>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</si>
  <si>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</si>
  <si>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</si>
  <si>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</si>
  <si>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</si>
  <si>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</si>
  <si>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</si>
  <si>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</si>
  <si>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</si>
  <si>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</si>
  <si>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</si>
  <si>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</si>
  <si>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</si>
  <si>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</si>
  <si>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</si>
  <si>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</si>
  <si>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</si>
  <si>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</si>
  <si>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</si>
  <si>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</si>
  <si>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</si>
  <si>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</si>
  <si>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</si>
  <si>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</si>
  <si>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</si>
  <si>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</si>
  <si>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</si>
  <si>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</si>
  <si>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</si>
  <si>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</si>
  <si>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</si>
  <si>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</si>
  <si>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</si>
  <si>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</si>
  <si>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</si>
  <si>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</si>
  <si>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</si>
  <si>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</si>
  <si>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</si>
  <si>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</si>
  <si>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</si>
  <si>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</si>
  <si>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</si>
  <si>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</si>
  <si>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</si>
  <si>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</si>
  <si>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</si>
  <si>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</si>
  <si>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</si>
  <si>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</si>
  <si>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</si>
  <si>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</si>
  <si>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</si>
  <si>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</si>
  <si>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</si>
  <si>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</si>
  <si>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</si>
  <si>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</si>
  <si>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</si>
  <si>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</si>
  <si>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</si>
  <si>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</si>
  <si>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</si>
  <si>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</si>
  <si>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</si>
  <si>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</si>
  <si>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</si>
  <si>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</si>
  <si>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</si>
  <si>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</si>
  <si>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</si>
  <si>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</si>
  <si>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</si>
  <si>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</si>
  <si>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</si>
  <si>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</si>
  <si>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</si>
  <si>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</si>
  <si>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</si>
  <si>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</si>
  <si>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</si>
  <si>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</si>
  <si>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</si>
  <si>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</si>
  <si>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</si>
  <si>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</si>
  <si>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</si>
  <si>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</si>
  <si>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</si>
  <si>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</si>
  <si>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</si>
  <si>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</si>
  <si>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</si>
  <si>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</si>
  <si>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</si>
  <si>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</si>
  <si>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</si>
  <si>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</si>
  <si>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</si>
  <si>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</si>
  <si>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</si>
  <si>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</si>
  <si>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</si>
  <si>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</si>
  <si>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</si>
  <si>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</si>
  <si>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</si>
  <si>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</si>
  <si>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</si>
  <si>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</si>
  <si>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</si>
  <si>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</si>
  <si>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</si>
  <si>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</si>
  <si>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</si>
  <si>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</si>
  <si>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</si>
  <si>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</si>
  <si>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</si>
  <si>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</si>
  <si>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</si>
  <si>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</si>
  <si>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</si>
  <si>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</si>
  <si>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</si>
  <si>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</si>
  <si>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</si>
  <si>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</si>
  <si>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</si>
  <si>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</si>
  <si>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</si>
  <si>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</si>
  <si>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</si>
  <si>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</si>
  <si>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</si>
  <si>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</si>
  <si>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</si>
  <si>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</si>
  <si>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</si>
  <si>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</si>
  <si>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</si>
  <si>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</si>
  <si>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</si>
  <si>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</si>
  <si>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</si>
  <si>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</si>
  <si>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</si>
  <si>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</si>
  <si>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</si>
  <si>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</si>
  <si>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</si>
  <si>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</si>
  <si>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</si>
  <si>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</si>
  <si>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</si>
  <si>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</si>
  <si>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</si>
  <si>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</si>
  <si>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</si>
  <si>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</si>
  <si>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</si>
  <si>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</si>
  <si>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</si>
  <si>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</si>
  <si>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</si>
  <si>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</si>
  <si>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</si>
  <si>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</si>
  <si>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</si>
  <si>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</si>
  <si>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</si>
  <si>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</si>
  <si>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</si>
  <si>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</si>
  <si>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</si>
  <si>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</si>
  <si>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</si>
  <si>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</si>
  <si>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</si>
  <si>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</si>
  <si>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</si>
  <si>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</si>
  <si>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</si>
  <si>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</si>
  <si>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</si>
  <si>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</si>
  <si>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</si>
  <si>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</si>
  <si>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</si>
  <si>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</si>
  <si>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</si>
  <si>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</si>
  <si>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</si>
  <si>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</si>
  <si>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</si>
  <si>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</si>
  <si>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</si>
  <si>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</si>
  <si>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</si>
  <si>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</si>
  <si>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</si>
  <si>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</si>
  <si>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</si>
  <si>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</si>
  <si>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</si>
  <si>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</si>
  <si>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</si>
  <si>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</si>
  <si>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</si>
  <si>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</si>
  <si>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</si>
  <si>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</si>
  <si>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</si>
  <si>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</si>
  <si>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</si>
  <si>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</si>
  <si>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</si>
  <si>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</si>
  <si>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</si>
  <si>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</si>
  <si>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</si>
  <si>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</si>
  <si>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</si>
  <si>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</si>
  <si>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</si>
  <si>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</si>
  <si>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</si>
  <si>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</si>
  <si>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</si>
  <si>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</si>
  <si>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</si>
  <si>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</si>
  <si>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</si>
  <si>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</si>
  <si>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</si>
  <si>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</si>
  <si>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</si>
  <si>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</si>
  <si>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</si>
  <si>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</si>
  <si>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</si>
  <si>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</si>
  <si>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</si>
  <si>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</si>
  <si>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</si>
  <si>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</si>
  <si>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</si>
  <si>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</si>
  <si>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</si>
  <si>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</si>
  <si>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</si>
  <si>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</si>
  <si>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</si>
  <si>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</si>
  <si>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</si>
  <si>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</si>
  <si>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</si>
  <si>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</si>
  <si>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</si>
  <si>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</si>
  <si>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</si>
  <si>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</si>
  <si>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</si>
  <si>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</si>
  <si>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</si>
  <si>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</si>
  <si>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</si>
  <si>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</si>
  <si>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</si>
  <si>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</si>
  <si>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</si>
  <si>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</si>
  <si>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</si>
  <si>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</si>
  <si>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</si>
  <si>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</si>
  <si>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</si>
  <si>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</si>
  <si>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</si>
  <si>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</si>
  <si>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</si>
  <si>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</si>
  <si>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</si>
  <si>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</si>
  <si>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</si>
  <si>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</si>
  <si>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</si>
  <si>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</si>
  <si>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</si>
  <si>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</si>
  <si>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</si>
  <si>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</si>
  <si>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</si>
  <si>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</si>
  <si>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</si>
  <si>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</si>
  <si>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</si>
  <si>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</si>
  <si>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</si>
  <si>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</si>
  <si>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</si>
  <si>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</si>
  <si>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</si>
  <si>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</si>
  <si>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</si>
  <si>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</si>
  <si>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</si>
  <si>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</si>
  <si>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</si>
  <si>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</si>
  <si>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</si>
  <si>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</si>
  <si>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</si>
  <si>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</si>
  <si>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</si>
  <si>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</si>
  <si>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</si>
  <si>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</si>
  <si>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</si>
  <si>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</si>
  <si>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</si>
  <si>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</si>
  <si>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</si>
  <si>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</si>
  <si>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</si>
  <si>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</si>
  <si>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</si>
  <si>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</si>
  <si>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</si>
  <si>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</si>
  <si>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</si>
  <si>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</si>
  <si>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</si>
  <si>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</si>
  <si>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</si>
  <si>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</si>
  <si>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</si>
  <si>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</si>
  <si>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</si>
  <si>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</si>
  <si>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</si>
  <si>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</si>
  <si>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</si>
  <si>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</si>
  <si>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</si>
  <si>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</si>
  <si>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</si>
  <si>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</si>
  <si>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</si>
  <si>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</si>
  <si>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</si>
  <si>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</si>
  <si>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</si>
  <si>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</si>
  <si>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</si>
  <si>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</si>
  <si>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</si>
  <si>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</si>
  <si>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</si>
  <si>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</si>
  <si>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</si>
  <si>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</si>
  <si>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</si>
  <si>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</si>
  <si>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</si>
  <si>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</si>
  <si>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</si>
  <si>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</si>
  <si>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</si>
  <si>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</si>
  <si>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</si>
  <si>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</si>
  <si>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</si>
  <si>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</si>
  <si>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</si>
  <si>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</si>
  <si>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</si>
  <si>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</si>
  <si>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</si>
  <si>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</si>
  <si>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</si>
  <si>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</si>
  <si>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</si>
  <si>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</si>
  <si>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</si>
  <si>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</si>
  <si>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</si>
  <si>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</si>
  <si>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</si>
  <si>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</si>
  <si>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</si>
  <si>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</si>
  <si>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</si>
  <si>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</si>
  <si>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</si>
  <si>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</si>
  <si>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</si>
  <si>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</si>
  <si>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</si>
  <si>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</si>
  <si>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</si>
  <si>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</si>
  <si>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</si>
  <si>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</si>
  <si>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</si>
  <si>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</si>
  <si>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</si>
  <si>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</si>
  <si>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</si>
  <si>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</si>
  <si>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</si>
  <si>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</si>
  <si>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</si>
  <si>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</si>
  <si>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</si>
  <si>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</si>
  <si>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</si>
  <si>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</si>
  <si>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</si>
  <si>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</si>
  <si>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</si>
  <si>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</si>
  <si>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</si>
  <si>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</si>
  <si>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</si>
  <si>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</si>
  <si>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</si>
  <si>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</si>
  <si>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</si>
  <si>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</si>
  <si>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</si>
  <si>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</si>
  <si>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</si>
  <si>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</si>
  <si>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</si>
  <si>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</si>
  <si>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</si>
  <si>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</si>
  <si>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</si>
  <si>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</si>
  <si>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</si>
  <si>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</si>
  <si>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</si>
  <si>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</si>
  <si>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</si>
  <si>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</si>
  <si>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</si>
  <si>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</si>
  <si>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</si>
  <si>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</si>
  <si>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</si>
  <si>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</si>
  <si>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</si>
  <si>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</si>
  <si>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</si>
  <si>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</si>
  <si>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</si>
  <si>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</si>
  <si>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</si>
  <si>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</si>
  <si>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</si>
  <si>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</si>
  <si>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</si>
  <si>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</si>
  <si>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</si>
  <si>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</si>
  <si>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</si>
  <si>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</si>
  <si>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</si>
  <si>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</si>
  <si>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</si>
  <si>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</si>
  <si>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</si>
  <si>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</si>
  <si>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</si>
  <si>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</si>
  <si>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</si>
  <si>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</si>
  <si>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</si>
  <si>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</si>
  <si>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</si>
  <si>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</si>
  <si>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</si>
  <si>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</si>
  <si>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</si>
  <si>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</si>
  <si>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</si>
  <si>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</si>
  <si>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</si>
  <si>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</si>
  <si>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</si>
  <si>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</si>
  <si>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</si>
  <si>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</si>
  <si>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</si>
  <si>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</si>
  <si>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</si>
  <si>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</si>
  <si>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</si>
  <si>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</si>
  <si>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</si>
  <si>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</si>
  <si>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</si>
  <si>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</si>
  <si>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</si>
  <si>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</si>
  <si>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</si>
  <si>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</si>
  <si>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</si>
  <si>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</si>
  <si>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</si>
  <si>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</si>
  <si>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</si>
  <si>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</si>
  <si>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</si>
  <si>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</si>
  <si>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</si>
  <si>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</si>
  <si>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</si>
  <si>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</si>
  <si>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</si>
  <si>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</si>
  <si>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</si>
  <si>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</si>
  <si>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</si>
  <si>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</si>
  <si>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</si>
  <si>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</si>
  <si>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</si>
  <si>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</si>
  <si>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</si>
  <si>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</si>
  <si>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</si>
  <si>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</si>
  <si>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</si>
  <si>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</si>
  <si>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</si>
  <si>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</si>
  <si>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</si>
  <si>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</si>
  <si>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</si>
  <si>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</si>
  <si>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</si>
  <si>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</si>
  <si>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</si>
  <si>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</si>
  <si>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</si>
  <si>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</si>
  <si>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</si>
  <si>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</si>
  <si>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</si>
  <si>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</si>
  <si>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</si>
  <si>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</si>
  <si>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</si>
  <si>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</si>
  <si>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</si>
  <si>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</si>
  <si>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</si>
  <si>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</si>
  <si>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</si>
  <si>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</si>
  <si>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</si>
  <si>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</si>
  <si>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</si>
  <si>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</si>
  <si>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</si>
  <si>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</si>
  <si>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</si>
  <si>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</si>
  <si>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</si>
  <si>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</si>
  <si>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</si>
  <si>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</si>
  <si>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</si>
  <si>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</si>
  <si>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</si>
  <si>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</si>
  <si>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</si>
  <si>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</si>
  <si>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</si>
  <si>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</si>
  <si>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</si>
  <si>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</si>
  <si>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</si>
  <si>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</si>
  <si>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</si>
  <si>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</si>
  <si>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</si>
  <si>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</si>
  <si>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</si>
  <si>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</si>
  <si>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</si>
  <si>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</si>
  <si>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</si>
  <si>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</si>
  <si>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</si>
  <si>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</si>
  <si>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</si>
  <si>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</si>
  <si>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</si>
  <si>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</si>
  <si>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</si>
  <si>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</si>
  <si>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</si>
  <si>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</si>
  <si>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</si>
  <si>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</si>
  <si>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</si>
  <si>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</si>
  <si>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</si>
  <si>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</si>
  <si>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</si>
  <si>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</si>
  <si>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</si>
  <si>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</si>
  <si>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</si>
  <si>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</si>
  <si>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</si>
  <si>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</si>
  <si>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</si>
  <si>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</si>
  <si>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</si>
  <si>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</si>
  <si>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</si>
  <si>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</si>
  <si>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</si>
  <si>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</si>
  <si>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</si>
  <si>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</si>
  <si>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</si>
  <si>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</si>
  <si>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</si>
  <si>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</si>
  <si>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</si>
  <si>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</si>
  <si>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</si>
  <si>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</si>
  <si>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</si>
  <si>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</si>
  <si>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</si>
  <si>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</si>
  <si>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</si>
  <si>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</si>
  <si>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</si>
  <si>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</si>
  <si>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</si>
  <si>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</si>
  <si>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</si>
  <si>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</si>
  <si>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</si>
  <si>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</si>
  <si>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</si>
  <si>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</si>
  <si>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</si>
  <si>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</si>
  <si>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</si>
  <si>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</si>
  <si>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</si>
  <si>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</si>
  <si>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</si>
  <si>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</si>
  <si>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</si>
  <si>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</si>
  <si>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</si>
  <si>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</si>
  <si>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</si>
  <si>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</si>
  <si>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</si>
  <si>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</si>
  <si>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</si>
  <si>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</si>
  <si>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</si>
  <si>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</si>
  <si>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</si>
  <si>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</si>
  <si>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</si>
  <si>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</si>
  <si>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</si>
  <si>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</si>
  <si>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</si>
  <si>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</si>
  <si>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</si>
  <si>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</si>
  <si>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</si>
  <si>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</si>
  <si>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</si>
  <si>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</si>
  <si>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</si>
  <si>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</si>
  <si>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</si>
  <si>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</si>
  <si>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</si>
  <si>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</si>
  <si>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</si>
  <si>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</si>
  <si>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</si>
  <si>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</si>
  <si>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</si>
  <si>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</si>
  <si>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</si>
  <si>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</si>
  <si>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</si>
  <si>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</si>
  <si>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</si>
  <si>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</si>
  <si>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</si>
  <si>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</si>
  <si>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</si>
  <si>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</si>
  <si>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</si>
  <si>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</si>
  <si>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</si>
  <si>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</si>
  <si>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</si>
  <si>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</si>
  <si>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</si>
  <si>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</si>
  <si>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</si>
  <si>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</si>
  <si>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</si>
  <si>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</si>
  <si>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</si>
  <si>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</si>
  <si>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</si>
  <si>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</si>
  <si>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</si>
  <si>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</si>
  <si>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</si>
  <si>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</si>
  <si>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</si>
  <si>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</si>
  <si>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</si>
  <si>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</si>
  <si>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</si>
  <si>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</si>
  <si>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</si>
  <si>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</si>
  <si>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</si>
  <si>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</si>
  <si>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</si>
  <si>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</si>
  <si>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</si>
  <si>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</si>
  <si>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</si>
  <si>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</si>
  <si>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</si>
  <si>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</si>
  <si>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</si>
  <si>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</si>
  <si>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</si>
  <si>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</si>
  <si>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</si>
  <si>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</si>
  <si>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</si>
  <si>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</si>
  <si>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</si>
  <si>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</si>
  <si>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</si>
  <si>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</si>
  <si>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</si>
  <si>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</si>
  <si>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</si>
  <si>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</si>
  <si>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</si>
  <si>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</si>
  <si>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</si>
  <si>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</si>
  <si>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</si>
  <si>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</si>
  <si>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</si>
  <si>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</si>
  <si>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</si>
  <si>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</si>
  <si>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</si>
  <si>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</si>
  <si>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</si>
  <si>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</si>
  <si>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</si>
  <si>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</si>
  <si>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</si>
  <si>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</si>
  <si>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</si>
  <si>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</si>
  <si>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</si>
  <si>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</si>
  <si>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</si>
  <si>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</si>
  <si>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</si>
  <si>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</si>
  <si>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</si>
  <si>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</si>
  <si>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</si>
  <si>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</si>
  <si>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</si>
  <si>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</si>
  <si>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</si>
  <si>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</si>
  <si>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</si>
  <si>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</si>
  <si>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</si>
  <si>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</si>
  <si>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</si>
  <si>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</si>
  <si>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</si>
  <si>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</si>
  <si>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</si>
  <si>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</si>
  <si>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</si>
  <si>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</si>
  <si>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</si>
  <si>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</si>
  <si>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</si>
  <si>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</si>
  <si>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</si>
  <si>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</si>
  <si>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</si>
  <si>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</si>
  <si>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</si>
  <si>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</si>
  <si>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</si>
  <si>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</si>
  <si>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</si>
  <si>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</si>
  <si>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</si>
  <si>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</si>
  <si>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</si>
  <si>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</si>
  <si>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</si>
  <si>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</si>
  <si>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</si>
  <si>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</si>
  <si>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</si>
  <si>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</si>
  <si>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</si>
  <si>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</si>
  <si>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</si>
  <si>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</si>
  <si>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</si>
  <si>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</si>
  <si>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</si>
  <si>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</si>
  <si>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</si>
  <si>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</si>
  <si>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</si>
  <si>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</si>
  <si>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</si>
  <si>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</si>
  <si>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</si>
  <si>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</si>
  <si>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</si>
  <si>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</si>
  <si>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</si>
  <si>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</si>
  <si>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</si>
  <si>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</si>
  <si>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</si>
  <si>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</si>
  <si>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</si>
  <si>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</si>
  <si>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</si>
  <si>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</si>
  <si>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</si>
  <si>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</si>
  <si>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</si>
  <si>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</si>
  <si>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</si>
  <si>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</si>
  <si>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</si>
  <si>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</si>
  <si>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</si>
  <si>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</si>
  <si>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</si>
  <si>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</si>
  <si>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</si>
  <si>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</si>
  <si>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</si>
  <si>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</si>
  <si>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</si>
  <si>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</si>
  <si>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</si>
  <si>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</si>
  <si>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</si>
  <si>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</si>
  <si>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</si>
  <si>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</si>
  <si>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</si>
  <si>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</si>
  <si>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</si>
  <si>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</si>
  <si>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</si>
  <si>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</si>
  <si>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</si>
  <si>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</si>
  <si>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</si>
  <si>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</si>
  <si>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</si>
  <si>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</si>
  <si>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</si>
  <si>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</si>
  <si>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</si>
  <si>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</si>
  <si>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</si>
  <si>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</si>
  <si>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</si>
  <si>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</si>
  <si>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</si>
  <si>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</si>
  <si>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</si>
  <si>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</si>
  <si>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</si>
  <si>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</si>
  <si>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</si>
  <si>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</si>
  <si>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</si>
  <si>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</si>
  <si>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</si>
  <si>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</si>
  <si>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</si>
  <si>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</si>
  <si>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</si>
  <si>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</si>
  <si>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</si>
  <si>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</si>
  <si>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</si>
  <si>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</si>
  <si>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</si>
  <si>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</si>
  <si>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</si>
  <si>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</si>
  <si>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</si>
  <si>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</si>
  <si>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</si>
  <si>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</si>
  <si>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</si>
  <si>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</si>
  <si>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</si>
  <si>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</si>
  <si>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</si>
  <si>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</si>
  <si>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</si>
  <si>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</si>
  <si>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</si>
  <si>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</si>
  <si>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</si>
  <si>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</si>
  <si>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</si>
  <si>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</si>
  <si>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</si>
  <si>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</si>
  <si>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</si>
  <si>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</si>
  <si>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</si>
  <si>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</si>
  <si>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</si>
  <si>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</si>
  <si>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</si>
  <si>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</si>
  <si>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</si>
  <si>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</si>
  <si>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</si>
  <si>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</si>
  <si>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</si>
  <si>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</si>
  <si>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</si>
  <si>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</si>
  <si>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</si>
  <si>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</si>
  <si>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</si>
  <si>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</si>
  <si>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</si>
  <si>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</si>
  <si>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</si>
  <si>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</si>
  <si>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</si>
  <si>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</si>
  <si>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</si>
  <si>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</si>
  <si>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</si>
  <si>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</si>
  <si>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</si>
  <si>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</si>
  <si>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</si>
  <si>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</si>
  <si>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</si>
  <si>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</si>
  <si>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</si>
  <si>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</si>
  <si>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</si>
  <si>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</si>
  <si>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</si>
  <si>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</si>
  <si>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</si>
  <si>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</si>
  <si>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</si>
  <si>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</si>
  <si>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</si>
  <si>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</si>
  <si>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</si>
  <si>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</si>
  <si>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</si>
  <si>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</si>
  <si>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</si>
  <si>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</si>
  <si>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</si>
  <si>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</si>
  <si>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</si>
  <si>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</si>
  <si>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</si>
  <si>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</si>
  <si>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</si>
  <si>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</si>
  <si>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</si>
  <si>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</si>
  <si>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</si>
  <si>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</si>
  <si>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</si>
  <si>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</si>
  <si>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</si>
  <si>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</si>
  <si>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</si>
  <si>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</si>
  <si>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</si>
  <si>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</si>
  <si>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</si>
  <si>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</si>
  <si>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</si>
  <si>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</si>
  <si>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</si>
  <si>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</si>
  <si>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</si>
  <si>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</si>
  <si>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</si>
  <si>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</si>
  <si>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</si>
  <si>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</si>
  <si>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</si>
  <si>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</si>
  <si>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</si>
  <si>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</si>
  <si>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</si>
  <si>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</si>
  <si>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</si>
  <si>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</si>
  <si>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</si>
  <si>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</si>
  <si>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</si>
  <si>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</si>
  <si>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</si>
  <si>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</si>
  <si>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</si>
  <si>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</si>
  <si>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</si>
  <si>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</si>
  <si>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</si>
  <si>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</si>
  <si>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</si>
  <si>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</si>
  <si>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</si>
  <si>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</si>
  <si>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</si>
  <si>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</si>
  <si>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</si>
  <si>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</si>
  <si>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</si>
  <si>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</si>
  <si>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</si>
  <si>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</si>
  <si>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</si>
  <si>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</si>
  <si>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</si>
  <si>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</si>
  <si>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</si>
  <si>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</si>
  <si>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</si>
  <si>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</si>
  <si>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</si>
  <si>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</si>
  <si>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</si>
  <si>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</si>
  <si>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</si>
  <si>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</si>
  <si>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</si>
  <si>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</si>
  <si>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</si>
  <si>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</si>
  <si>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</si>
  <si>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</si>
  <si>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</si>
  <si>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</si>
  <si>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</si>
  <si>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</si>
  <si>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</si>
  <si>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</si>
  <si>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</si>
  <si>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</si>
  <si>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</si>
  <si>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</si>
  <si>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</si>
  <si>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</si>
  <si>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</si>
  <si>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</si>
  <si>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</si>
  <si>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</si>
  <si>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</si>
  <si>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</si>
  <si>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</si>
  <si>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</si>
  <si>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</si>
  <si>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</si>
  <si>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</si>
  <si>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</si>
  <si>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</si>
  <si>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</si>
  <si>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</si>
  <si>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</si>
  <si>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</si>
  <si>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</si>
  <si>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</si>
  <si>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</si>
  <si>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</si>
  <si>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</si>
  <si>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</si>
  <si>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</si>
  <si>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</si>
  <si>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</si>
  <si>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</si>
  <si>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</si>
  <si>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</si>
  <si>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</si>
  <si>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</si>
  <si>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</si>
  <si>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</si>
  <si>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</si>
  <si>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</si>
  <si>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</si>
  <si>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</si>
  <si>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</si>
  <si>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</si>
  <si>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</si>
  <si>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</si>
  <si>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</si>
  <si>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</si>
  <si>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</si>
  <si>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</si>
  <si>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</si>
  <si>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</si>
  <si>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</si>
  <si>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</si>
  <si>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</si>
  <si>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</si>
  <si>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</si>
  <si>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</si>
  <si>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</si>
  <si>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</si>
  <si>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</si>
  <si>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</si>
  <si>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</si>
  <si>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</si>
  <si>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</si>
  <si>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</si>
  <si>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</si>
  <si>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</si>
  <si>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</si>
  <si>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</si>
  <si>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</si>
  <si>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</si>
  <si>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</si>
  <si>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</si>
  <si>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</si>
  <si>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</si>
  <si>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</si>
  <si>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</si>
  <si>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</si>
  <si>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</si>
  <si>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</si>
  <si>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</si>
  <si>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</si>
  <si>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</si>
  <si>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</si>
  <si>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</si>
  <si>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</si>
  <si>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</si>
  <si>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</si>
  <si>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</si>
  <si>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</si>
  <si>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</si>
  <si>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</si>
  <si>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</si>
  <si>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</si>
  <si>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</si>
  <si>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</si>
  <si>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</si>
  <si>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</si>
  <si>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</si>
  <si>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</si>
  <si>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</si>
  <si>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</si>
  <si>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</si>
  <si>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</si>
  <si>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</si>
  <si>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</si>
  <si>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</si>
  <si>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</si>
  <si>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</si>
  <si>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</si>
  <si>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</si>
  <si>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</si>
  <si>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</si>
  <si>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</si>
  <si>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</si>
  <si>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</si>
  <si>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</si>
  <si>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</si>
  <si>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</si>
  <si>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</si>
  <si>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</si>
  <si>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</si>
  <si>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</si>
  <si>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</si>
  <si>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</si>
  <si>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</si>
  <si>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</si>
  <si>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</si>
  <si>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</si>
  <si>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</si>
  <si>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</si>
  <si>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</si>
  <si>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</si>
  <si>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</si>
  <si>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</si>
  <si>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</si>
  <si>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</si>
  <si>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</si>
  <si>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</si>
  <si>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</si>
  <si>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</si>
  <si>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</si>
  <si>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</si>
  <si>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</si>
  <si>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</si>
  <si>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</si>
  <si>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</si>
  <si>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</si>
  <si>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</si>
  <si>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</si>
  <si>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</si>
  <si>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</si>
  <si>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</si>
  <si>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</si>
  <si>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</si>
  <si>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</si>
  <si>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</si>
  <si>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</si>
  <si>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</si>
  <si>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</si>
  <si>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</si>
  <si>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</si>
  <si>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</si>
  <si>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</si>
  <si>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</si>
  <si>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</si>
  <si>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</si>
  <si>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</si>
  <si>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</si>
  <si>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</si>
  <si>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</si>
  <si>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</si>
  <si>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</si>
  <si>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</si>
  <si>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</si>
  <si>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</si>
  <si>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</si>
  <si>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</si>
  <si>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</si>
  <si>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</si>
  <si>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</si>
  <si>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</si>
  <si>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</si>
  <si>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</si>
  <si>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</si>
  <si>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</si>
  <si>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</si>
  <si>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</si>
  <si>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</si>
  <si>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</si>
  <si>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</si>
  <si>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</si>
  <si>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</si>
  <si>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</si>
  <si>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</si>
  <si>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</si>
  <si>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</si>
  <si>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</si>
  <si>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</si>
  <si>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</si>
  <si>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</si>
  <si>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</si>
  <si>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</si>
  <si>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</si>
  <si>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</si>
  <si>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</si>
  <si>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</si>
  <si>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</si>
  <si>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</si>
  <si>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</si>
  <si>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</si>
  <si>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</si>
  <si>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</si>
  <si>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</si>
  <si>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</si>
  <si>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</si>
  <si>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</si>
  <si>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</si>
  <si>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</si>
  <si>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</si>
  <si>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</si>
  <si>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</si>
  <si>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</si>
  <si>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</si>
  <si>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</si>
  <si>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</si>
  <si>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</si>
  <si>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</si>
  <si>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</si>
  <si>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</si>
  <si>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</si>
  <si>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</si>
  <si>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</si>
  <si>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</si>
  <si>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</si>
  <si>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</si>
  <si>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</si>
  <si>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</si>
  <si>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</si>
  <si>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</si>
  <si>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</si>
  <si>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</si>
  <si>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</si>
  <si>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</si>
  <si>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</si>
  <si>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</si>
  <si>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</si>
  <si>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</si>
  <si>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</si>
  <si>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</si>
  <si>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</si>
  <si>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</si>
  <si>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</si>
  <si>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</si>
  <si>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</si>
  <si>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</si>
  <si>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</si>
  <si>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</si>
  <si>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</si>
  <si>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</si>
  <si>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</si>
  <si>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</si>
  <si>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</si>
  <si>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</si>
  <si>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</si>
  <si>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</si>
  <si>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</si>
  <si>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</si>
  <si>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</si>
  <si>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</si>
  <si>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</si>
  <si>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</si>
  <si>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</si>
  <si>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</si>
  <si>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</si>
  <si>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</si>
  <si>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</si>
  <si>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</si>
  <si>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</si>
  <si>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</si>
  <si>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</si>
  <si>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</si>
  <si>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</si>
  <si>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</si>
  <si>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</si>
  <si>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</si>
  <si>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</si>
  <si>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</si>
  <si>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</si>
  <si>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</si>
  <si>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</si>
  <si>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</si>
  <si>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</si>
  <si>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</si>
  <si>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</si>
  <si>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</si>
  <si>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</si>
  <si>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</si>
  <si>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</si>
  <si>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</si>
  <si>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</si>
  <si>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</si>
  <si>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</si>
  <si>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</si>
  <si>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</si>
  <si>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</si>
  <si>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</si>
  <si>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</si>
  <si>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</si>
  <si>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</si>
  <si>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</si>
  <si>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</si>
  <si>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</si>
  <si>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</si>
  <si>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</si>
  <si>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</si>
  <si>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</si>
  <si>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</si>
  <si>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</si>
  <si>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</si>
  <si>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</si>
  <si>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</si>
  <si>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</si>
  <si>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</si>
  <si>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</si>
  <si>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</si>
  <si>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</si>
  <si>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</si>
  <si>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</si>
  <si>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</si>
  <si>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</si>
  <si>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</si>
  <si>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</si>
  <si>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</si>
  <si>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</si>
  <si>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</si>
  <si>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</si>
  <si>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</si>
  <si>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</si>
  <si>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</si>
  <si>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</si>
  <si>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</si>
  <si>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</si>
  <si>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</si>
  <si>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</si>
  <si>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</si>
  <si>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</si>
  <si>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</si>
  <si>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</si>
  <si>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</si>
  <si>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</si>
  <si>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</si>
  <si>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</si>
  <si>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</si>
  <si>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</si>
  <si>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</si>
  <si>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</si>
  <si>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</si>
  <si>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</si>
  <si>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</si>
  <si>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</si>
  <si>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</si>
  <si>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</si>
  <si>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</si>
  <si>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</si>
  <si>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</si>
  <si>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</si>
  <si>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</si>
  <si>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</si>
  <si>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</si>
  <si>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</si>
  <si>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</si>
  <si>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</si>
  <si>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</si>
  <si>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</si>
  <si>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</si>
  <si>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</si>
  <si>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</si>
  <si>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</si>
  <si>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</si>
  <si>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</si>
  <si>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</si>
  <si>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</si>
  <si>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</si>
  <si>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</si>
  <si>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</si>
  <si>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</si>
  <si>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</si>
  <si>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</si>
  <si>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</si>
  <si>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</si>
  <si>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</si>
  <si>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</si>
  <si>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</si>
  <si>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</si>
  <si>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</si>
  <si>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</si>
  <si>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</si>
  <si>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</si>
  <si>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</si>
  <si>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</si>
  <si>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</si>
  <si>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</si>
  <si>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</si>
  <si>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</si>
  <si>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</si>
  <si>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</si>
  <si>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</si>
  <si>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</si>
  <si>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</si>
  <si>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</si>
  <si>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</si>
  <si>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</si>
  <si>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</si>
  <si>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</si>
  <si>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</si>
  <si>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</si>
  <si>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</si>
  <si>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</si>
  <si>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</si>
  <si>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</si>
  <si>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</si>
  <si>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</si>
  <si>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</si>
  <si>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</si>
  <si>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</si>
  <si>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</si>
  <si>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</si>
  <si>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</si>
  <si>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</si>
  <si>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</si>
  <si>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</si>
  <si>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</si>
  <si>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</si>
  <si>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</si>
  <si>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</si>
  <si>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</si>
  <si>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</si>
  <si>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</si>
  <si>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</si>
  <si>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</si>
  <si>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</si>
  <si>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</si>
  <si>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</si>
  <si>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</si>
  <si>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</si>
  <si>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</si>
  <si>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</si>
  <si>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</si>
  <si>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</si>
  <si>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</si>
  <si>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</si>
  <si>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</si>
  <si>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</si>
  <si>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</si>
  <si>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</si>
  <si>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</si>
  <si>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</si>
  <si>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</si>
  <si>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</si>
  <si>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</si>
  <si>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</si>
  <si>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</si>
  <si>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</si>
  <si>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</si>
  <si>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</si>
  <si>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</si>
  <si>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</si>
  <si>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</si>
  <si>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</si>
  <si>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</si>
  <si>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</si>
  <si>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</si>
  <si>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</si>
  <si>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</si>
  <si>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</si>
  <si>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</si>
  <si>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</si>
  <si>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</si>
  <si>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</si>
  <si>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</si>
  <si>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</si>
  <si>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</si>
  <si>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</si>
  <si>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</si>
  <si>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</si>
  <si>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</si>
  <si>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</si>
  <si>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</si>
  <si>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</si>
  <si>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</si>
  <si>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</si>
  <si>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</si>
  <si>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</si>
  <si>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</si>
  <si>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</si>
  <si>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</si>
  <si>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</si>
  <si>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</si>
  <si>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</si>
  <si>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</si>
  <si>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</si>
  <si>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</si>
  <si>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</si>
  <si>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</si>
  <si>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</si>
  <si>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</si>
  <si>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</si>
  <si>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</si>
  <si>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</si>
  <si>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</si>
  <si>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</si>
  <si>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</si>
  <si>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</si>
  <si>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</si>
  <si>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</si>
  <si>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</si>
  <si>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</si>
  <si>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</si>
  <si>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</si>
  <si>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</si>
  <si>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</si>
  <si>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</si>
  <si>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</si>
  <si>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</si>
  <si>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</si>
  <si>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</si>
  <si>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</si>
  <si>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</si>
  <si>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</si>
  <si>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</si>
  <si>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</si>
  <si>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</si>
  <si>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</si>
  <si>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</si>
  <si>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</si>
  <si>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</si>
  <si>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</si>
  <si>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</si>
  <si>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</si>
  <si>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</si>
  <si>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</si>
  <si>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</si>
  <si>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</si>
  <si>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</si>
  <si>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</si>
  <si>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</si>
  <si>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</si>
  <si>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</si>
  <si>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</si>
  <si>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</si>
  <si>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</si>
  <si>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</si>
  <si>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</si>
  <si>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</si>
  <si>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</si>
  <si>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</si>
  <si>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</si>
  <si>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</si>
  <si>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</si>
  <si>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</si>
  <si>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</si>
  <si>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</si>
  <si>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</si>
  <si>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</si>
  <si>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</si>
  <si>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</si>
  <si>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</si>
  <si>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</si>
  <si>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</si>
  <si>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</si>
  <si>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</si>
  <si>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</si>
  <si>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</si>
  <si>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</si>
  <si>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</si>
  <si>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</si>
  <si>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</si>
  <si>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</si>
  <si>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</si>
  <si>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</si>
  <si>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</si>
  <si>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</si>
  <si>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</si>
  <si>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</si>
  <si>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</si>
  <si>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</si>
  <si>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</si>
  <si>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</si>
  <si>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</si>
  <si>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</si>
  <si>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</si>
  <si>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</si>
  <si>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</si>
  <si>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</si>
  <si>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</si>
  <si>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</si>
  <si>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</si>
  <si>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</si>
  <si>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</si>
  <si>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</si>
  <si>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</si>
  <si>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</si>
  <si>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</si>
  <si>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</si>
  <si>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</si>
  <si>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</si>
  <si>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</si>
  <si>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</si>
  <si>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</si>
  <si>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</si>
  <si>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</si>
  <si>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</si>
  <si>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</si>
  <si>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</si>
  <si>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</si>
  <si>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</si>
  <si>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</si>
  <si>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</si>
  <si>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</si>
  <si>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</si>
  <si>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</si>
  <si>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</si>
  <si>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</si>
  <si>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</si>
  <si>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</si>
  <si>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</si>
  <si>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</si>
  <si>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</si>
  <si>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</si>
  <si>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</si>
  <si>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</si>
  <si>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</si>
  <si>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</si>
  <si>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</si>
  <si>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</si>
  <si>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</si>
  <si>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</si>
  <si>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</si>
  <si>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</si>
  <si>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</si>
  <si>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</si>
  <si>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</si>
  <si>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</si>
  <si>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</si>
  <si>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</si>
  <si>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</si>
  <si>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</si>
  <si>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</si>
  <si>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</si>
  <si>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</si>
  <si>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</si>
  <si>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</si>
  <si>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</si>
  <si>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</si>
  <si>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</si>
  <si>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</si>
  <si>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</si>
  <si>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</si>
  <si>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</si>
  <si>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</si>
  <si>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</si>
  <si>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</si>
  <si>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</si>
  <si>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</si>
  <si>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</si>
  <si>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</si>
  <si>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</si>
  <si>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</si>
  <si>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</si>
  <si>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</si>
  <si>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</si>
  <si>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</si>
  <si>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</si>
  <si>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</si>
  <si>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</si>
  <si>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</si>
  <si>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</si>
  <si>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</si>
  <si>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</si>
  <si>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</si>
  <si>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</si>
  <si>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</si>
  <si>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</si>
  <si>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</si>
  <si>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</si>
  <si>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</si>
  <si>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</si>
  <si>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</si>
  <si>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</si>
  <si>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</si>
  <si>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</si>
  <si>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</si>
  <si>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</si>
  <si>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</si>
  <si>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</si>
  <si>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</si>
  <si>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</si>
  <si>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</si>
  <si>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</si>
  <si>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</si>
  <si>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</si>
  <si>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</si>
  <si>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</si>
  <si>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</si>
  <si>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</si>
  <si>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</si>
  <si>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</si>
  <si>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</si>
  <si>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</si>
  <si>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</si>
  <si>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</si>
  <si>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</si>
  <si>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</si>
  <si>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</si>
  <si>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</si>
  <si>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</si>
  <si>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</si>
  <si>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</si>
  <si>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</si>
  <si>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</si>
  <si>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</si>
  <si>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</si>
  <si>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</si>
  <si>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</si>
  <si>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</si>
  <si>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</si>
  <si>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</si>
  <si>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</si>
  <si>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</si>
  <si>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</si>
  <si>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</si>
  <si>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</si>
  <si>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</si>
  <si>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</si>
  <si>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</si>
  <si>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</si>
  <si>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</si>
  <si>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</si>
  <si>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</si>
  <si>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</si>
  <si>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</si>
  <si>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</si>
  <si>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</si>
  <si>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</si>
  <si>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</si>
  <si>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</si>
  <si>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</si>
  <si>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</si>
  <si>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</si>
  <si>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</si>
  <si>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</si>
  <si>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</si>
  <si>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</si>
  <si>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</si>
  <si>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</si>
  <si>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</si>
  <si>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</si>
  <si>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</si>
  <si>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</si>
  <si>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</si>
  <si>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</si>
  <si>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</si>
  <si>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</si>
  <si>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</si>
  <si>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</si>
  <si>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</si>
  <si>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</si>
  <si>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</si>
  <si>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</si>
  <si>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</si>
  <si>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</si>
  <si>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</si>
  <si>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</si>
  <si>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</si>
  <si>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</si>
  <si>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</si>
  <si>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</si>
  <si>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</si>
  <si>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</si>
  <si>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</si>
  <si>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</si>
  <si>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</si>
  <si>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</si>
  <si>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</si>
  <si>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</si>
  <si>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</si>
  <si>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</si>
  <si>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</si>
  <si>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</si>
  <si>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</si>
  <si>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</si>
  <si>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</si>
  <si>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</si>
  <si>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</si>
  <si>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</si>
  <si>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</si>
  <si>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</si>
  <si>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</si>
  <si>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</si>
  <si>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</si>
  <si>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</si>
  <si>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</si>
  <si>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</si>
  <si>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</si>
  <si>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</si>
  <si>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</si>
  <si>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</si>
  <si>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</si>
  <si>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</si>
  <si>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</si>
  <si>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</si>
  <si>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</si>
  <si>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</si>
  <si>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</si>
  <si>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</si>
  <si>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</si>
  <si>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</si>
  <si>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</si>
  <si>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</si>
  <si>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</si>
  <si>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</si>
  <si>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</si>
  <si>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</si>
  <si>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</si>
  <si>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</si>
  <si>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</si>
  <si>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</si>
  <si>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</si>
  <si>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</si>
  <si>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</si>
  <si>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</si>
  <si>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</si>
  <si>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</si>
  <si>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</si>
  <si>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</si>
  <si>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</si>
  <si>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</si>
  <si>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</si>
  <si>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</si>
  <si>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</si>
  <si>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</si>
  <si>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</si>
  <si>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</si>
  <si>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</si>
  <si>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</si>
  <si>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</si>
  <si>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</si>
  <si>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</si>
  <si>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</si>
  <si>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</si>
  <si>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</si>
  <si>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</si>
  <si>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</si>
  <si>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</si>
  <si>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</si>
  <si>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</si>
  <si>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</si>
  <si>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</si>
  <si>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</si>
  <si>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</si>
  <si>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</si>
  <si>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</si>
  <si>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</si>
  <si>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</si>
  <si>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</si>
  <si>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</si>
  <si>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</si>
  <si>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</si>
  <si>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</si>
  <si>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</si>
  <si>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</si>
  <si>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</si>
  <si>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</si>
  <si>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</si>
  <si>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</si>
  <si>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</si>
  <si>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</si>
  <si>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</si>
  <si>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</si>
  <si>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</si>
  <si>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</si>
  <si>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</si>
  <si>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</si>
  <si>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</si>
  <si>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</si>
  <si>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</si>
  <si>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</si>
  <si>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</si>
  <si>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</si>
  <si>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</si>
  <si>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</si>
  <si>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</si>
  <si>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</si>
  <si>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</si>
  <si>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</si>
  <si>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</si>
  <si>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</si>
  <si>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</si>
  <si>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</si>
  <si>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</si>
  <si>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</si>
  <si>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</si>
  <si>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</si>
  <si>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</si>
  <si>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</si>
  <si>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</si>
  <si>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</si>
  <si>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</si>
  <si>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</si>
  <si>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</si>
  <si>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</si>
  <si>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</si>
  <si>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</si>
  <si>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</si>
  <si>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</si>
  <si>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</si>
  <si>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</si>
  <si>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</si>
  <si>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</si>
  <si>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</si>
  <si>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</si>
  <si>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</si>
  <si>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</si>
  <si>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</si>
  <si>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</si>
  <si>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</si>
  <si>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</si>
  <si>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</si>
  <si>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</si>
  <si>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</si>
  <si>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</si>
  <si>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</si>
  <si>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</si>
  <si>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</si>
  <si>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</si>
  <si>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</si>
  <si>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</si>
  <si>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</si>
  <si>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</si>
  <si>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</si>
  <si>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</si>
  <si>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</si>
  <si>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</si>
  <si>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</si>
  <si>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</si>
  <si>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</si>
  <si>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</si>
  <si>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</si>
  <si>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</si>
  <si>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</si>
  <si>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</si>
  <si>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</si>
  <si>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</si>
  <si>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</si>
  <si>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</si>
  <si>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</si>
  <si>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</si>
  <si>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</si>
  <si>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</si>
  <si>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</si>
  <si>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</si>
  <si>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</si>
  <si>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</si>
  <si>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</si>
  <si>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</si>
  <si>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</si>
  <si>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</si>
  <si>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</si>
  <si>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</si>
  <si>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</si>
  <si>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</si>
  <si>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</si>
  <si>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</si>
  <si>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</si>
  <si>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</si>
  <si>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</si>
  <si>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</si>
  <si>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</si>
  <si>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</si>
  <si>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</si>
  <si>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</si>
  <si>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</si>
  <si>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</si>
  <si>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</si>
  <si>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</si>
  <si>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</si>
  <si>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</si>
  <si>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</si>
  <si>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</si>
  <si>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 xml:space="preserve">	4551640#1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</si>
  <si>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</si>
  <si>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</si>
  <si>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</si>
  <si>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</si>
  <si>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</si>
  <si>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</si>
  <si>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</si>
  <si>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</si>
  <si>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</si>
  <si>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</si>
  <si>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</si>
  <si>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</si>
  <si>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</si>
  <si>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</si>
  <si>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</si>
  <si>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</si>
  <si>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</si>
  <si>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</si>
  <si>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</si>
  <si>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</si>
  <si>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</si>
  <si>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</si>
  <si>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</si>
  <si>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</si>
  <si>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</si>
  <si>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</si>
  <si>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</si>
  <si>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</si>
  <si>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</si>
  <si>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</si>
  <si>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</si>
  <si>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</si>
  <si>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</si>
  <si>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</si>
  <si>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</si>
  <si>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</si>
  <si>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</si>
  <si>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</si>
  <si>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</si>
  <si>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</si>
  <si>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</si>
  <si>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</si>
  <si>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</si>
  <si>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</si>
  <si>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</si>
  <si>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</si>
  <si>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</si>
  <si>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</si>
  <si>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</si>
  <si>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</si>
  <si>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</si>
  <si>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</si>
  <si>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</si>
  <si>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</si>
  <si>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</si>
  <si>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</si>
  <si>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</si>
  <si>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</si>
  <si>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</si>
  <si>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</si>
  <si>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</si>
  <si>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</si>
  <si>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</si>
  <si>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</si>
  <si>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</si>
  <si>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</si>
  <si>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</si>
  <si>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</si>
  <si>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</si>
  <si>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</si>
  <si>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</si>
  <si>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</si>
  <si>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</si>
  <si>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</si>
  <si>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</si>
  <si>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</si>
  <si>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</si>
  <si>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</si>
  <si>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</si>
  <si>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</si>
  <si>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</si>
  <si>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</si>
  <si>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</si>
  <si>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</si>
  <si>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</si>
  <si>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</si>
  <si>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</si>
  <si>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</si>
  <si>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</si>
  <si>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</si>
  <si>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</si>
  <si>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</si>
  <si>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</si>
  <si>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</si>
  <si>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</si>
  <si>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</si>
  <si>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</si>
  <si>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</si>
  <si>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</si>
  <si>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</si>
  <si>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</si>
  <si>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</si>
  <si>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</si>
  <si>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</si>
  <si>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</si>
  <si>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</si>
  <si>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</si>
  <si>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</si>
  <si>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</si>
  <si>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</si>
  <si>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</si>
  <si>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</si>
  <si>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</si>
  <si>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</si>
  <si>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</si>
  <si>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</si>
  <si>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</si>
  <si>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</si>
  <si>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</si>
  <si>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</si>
  <si>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</si>
  <si>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</si>
  <si>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</si>
  <si>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</si>
  <si>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</si>
  <si>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</si>
  <si>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</si>
  <si>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</si>
  <si>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</si>
  <si>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</si>
  <si>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</si>
  <si>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</si>
  <si>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</si>
  <si>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</si>
  <si>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</si>
  <si>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</si>
  <si>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</si>
  <si>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</si>
  <si>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</si>
  <si>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</si>
  <si>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</si>
  <si>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</si>
  <si>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</si>
  <si>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</si>
  <si>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</si>
  <si>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</si>
  <si>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</si>
  <si>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</si>
  <si>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</si>
  <si>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</si>
  <si>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</si>
  <si>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</si>
  <si>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</si>
  <si>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</si>
  <si>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</si>
  <si>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</si>
  <si>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</si>
  <si>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</si>
  <si>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</si>
  <si>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</si>
  <si>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</si>
  <si>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</si>
  <si>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</si>
  <si>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</si>
  <si>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</si>
  <si>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</si>
  <si>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</si>
  <si>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</si>
  <si>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</si>
  <si>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</si>
  <si>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</si>
  <si>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</si>
  <si>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</si>
  <si>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</si>
  <si>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</si>
  <si>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</si>
  <si>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</si>
  <si>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</si>
  <si>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</si>
  <si>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</si>
  <si>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</si>
  <si>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</si>
  <si>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</si>
  <si>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</si>
  <si>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</si>
  <si>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</si>
  <si>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</si>
  <si>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</si>
  <si>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</si>
  <si>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</si>
  <si>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</si>
  <si>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</si>
  <si>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</si>
  <si>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</si>
  <si>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</si>
  <si>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</si>
  <si>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</si>
  <si>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</si>
  <si>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</si>
  <si>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</si>
  <si>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</si>
  <si>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</si>
  <si>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</si>
  <si>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</si>
  <si>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</si>
  <si>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</si>
  <si>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</si>
  <si>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</si>
  <si>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</si>
  <si>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</si>
  <si>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</si>
  <si>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</si>
  <si>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</si>
  <si>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</si>
  <si>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</si>
  <si>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</si>
  <si>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</si>
  <si>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</si>
  <si>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</si>
  <si>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</si>
  <si>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</si>
  <si>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</si>
  <si>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</si>
  <si>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</si>
  <si>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</si>
  <si>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</si>
  <si>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</si>
  <si>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</si>
  <si>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</si>
  <si>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</si>
  <si>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</si>
  <si>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</si>
  <si>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</si>
  <si>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</si>
  <si>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</si>
  <si>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</si>
  <si>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 - Not multiple case. Other case was wrongly associated.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</si>
  <si>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</si>
  <si>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</si>
  <si>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</si>
  <si>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</si>
  <si>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</si>
  <si>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</si>
  <si>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</si>
  <si>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</si>
  <si>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</si>
  <si>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</si>
  <si>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</si>
  <si>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</si>
  <si>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</si>
  <si>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</si>
  <si>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</si>
  <si>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</si>
  <si>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</si>
  <si>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</si>
  <si>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</si>
  <si>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</si>
  <si>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</si>
  <si>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</si>
  <si>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</si>
  <si>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</si>
  <si>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</si>
  <si>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</si>
  <si>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</si>
  <si>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</si>
  <si>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</si>
  <si>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</si>
  <si>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</si>
  <si>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</si>
  <si>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</si>
  <si>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</si>
  <si>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</si>
  <si>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</si>
  <si>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</si>
  <si>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</si>
  <si>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</si>
  <si>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</si>
  <si>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</si>
  <si>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</si>
  <si>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</si>
  <si>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</si>
  <si>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</si>
  <si>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</si>
  <si>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</si>
  <si>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</si>
  <si>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</si>
  <si>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</si>
  <si>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</si>
  <si>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</si>
  <si>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</si>
  <si>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</si>
  <si>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</si>
  <si>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</si>
  <si>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</si>
  <si>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</si>
  <si>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</si>
  <si>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</si>
  <si>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</si>
  <si>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</si>
  <si>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</si>
  <si>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</si>
  <si>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</si>
  <si>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</si>
  <si>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</si>
  <si>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</si>
  <si>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</si>
  <si>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</si>
  <si>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</si>
  <si>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</si>
  <si>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</si>
  <si>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</si>
  <si>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</si>
  <si>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</si>
  <si>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</si>
  <si>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</si>
  <si>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</si>
  <si>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</si>
  <si>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</si>
  <si>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</si>
  <si>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</si>
  <si>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</si>
  <si>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</si>
  <si>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</si>
  <si>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</si>
  <si>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</si>
  <si>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</si>
  <si>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</si>
  <si>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</si>
  <si>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</si>
  <si>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</si>
  <si>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</si>
  <si>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</si>
  <si>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</si>
  <si>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</si>
  <si>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</si>
  <si>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</si>
  <si>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</si>
  <si>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</si>
  <si>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</si>
  <si>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</si>
  <si>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</si>
  <si>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</si>
  <si>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</si>
  <si>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</si>
  <si>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</si>
  <si>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</si>
  <si>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</si>
  <si>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</si>
  <si>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</si>
  <si>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</si>
  <si>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</si>
  <si>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</si>
  <si>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</si>
  <si>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</si>
  <si>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</si>
  <si>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</si>
  <si>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</si>
  <si>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</si>
  <si>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</si>
  <si>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</si>
  <si>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</si>
  <si>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</si>
  <si>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</si>
  <si>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</si>
  <si>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</si>
  <si>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</si>
  <si>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</si>
  <si>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</si>
  <si>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</si>
  <si>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</si>
  <si>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</si>
  <si>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</si>
  <si>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</si>
  <si>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</si>
  <si>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</si>
  <si>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</si>
  <si>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</si>
  <si>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</si>
  <si>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</si>
  <si>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</si>
  <si>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</si>
  <si>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</si>
  <si>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</si>
  <si>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</si>
  <si>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</si>
  <si>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</si>
  <si>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</si>
  <si>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</si>
  <si>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</si>
  <si>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</si>
  <si>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</si>
  <si>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</si>
  <si>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</si>
  <si>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</si>
  <si>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</si>
  <si>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</si>
  <si>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</si>
  <si>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</si>
  <si>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</si>
  <si>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</si>
  <si>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</si>
  <si>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</si>
  <si>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</si>
  <si>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</si>
  <si>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</si>
  <si>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</si>
  <si>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</si>
  <si>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</si>
  <si>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</si>
  <si>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</si>
  <si>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</si>
  <si>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</si>
  <si>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</si>
  <si>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</si>
  <si>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</si>
  <si>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</si>
  <si>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</si>
  <si>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</si>
  <si>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</si>
  <si>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</si>
  <si>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</si>
  <si>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</si>
  <si>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</si>
  <si>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</si>
  <si>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</si>
  <si>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</si>
  <si>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</si>
  <si>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</si>
  <si>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</si>
  <si>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</si>
  <si>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</si>
  <si>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</si>
  <si>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</si>
  <si>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</si>
  <si>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</si>
  <si>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</si>
  <si>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</si>
  <si>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</si>
  <si>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</si>
  <si>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</si>
  <si>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</si>
  <si>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</si>
  <si>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</si>
  <si>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</si>
  <si>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</si>
  <si>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</si>
  <si>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</si>
  <si>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</si>
  <si>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</si>
  <si>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</si>
  <si>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</si>
  <si>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</si>
  <si>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</si>
  <si>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</si>
  <si>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</si>
  <si>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</si>
  <si>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</si>
  <si>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</si>
  <si>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</si>
  <si>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</si>
  <si>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</si>
  <si>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</si>
  <si>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</si>
  <si>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</si>
  <si>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</si>
  <si>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</si>
  <si>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</si>
  <si>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</si>
  <si>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</si>
  <si>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</si>
  <si>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</si>
  <si>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</si>
  <si>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</si>
  <si>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</si>
  <si>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</si>
  <si>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</si>
  <si>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</si>
  <si>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</si>
  <si>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</si>
  <si>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</si>
  <si>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</si>
  <si>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</si>
  <si>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</si>
  <si>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</si>
  <si>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</si>
  <si>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</si>
  <si>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</si>
  <si>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</si>
  <si>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</si>
  <si>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</si>
  <si>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</si>
  <si>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</si>
  <si>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</si>
  <si>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</si>
  <si>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</si>
  <si>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</si>
  <si>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</si>
  <si>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</si>
  <si>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</si>
  <si>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</si>
  <si>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</si>
  <si>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</si>
  <si>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</si>
  <si>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</si>
  <si>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</si>
  <si>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</si>
  <si>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</si>
  <si>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</si>
  <si>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</si>
  <si>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</si>
  <si>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</si>
  <si>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</si>
  <si>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</si>
  <si>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</si>
  <si>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</si>
  <si>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</si>
  <si>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</si>
  <si>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</si>
  <si>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</si>
  <si>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</si>
  <si>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</si>
  <si>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</si>
  <si>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</si>
  <si>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</si>
  <si>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</si>
  <si>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</si>
  <si>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</si>
  <si>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</si>
  <si>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</si>
  <si>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</si>
  <si>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</si>
  <si>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</si>
  <si>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</si>
  <si>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</si>
  <si>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</si>
  <si>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</si>
  <si>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</si>
  <si>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</si>
  <si>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</si>
  <si>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</si>
  <si>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</si>
  <si>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</si>
  <si>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</si>
  <si>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</si>
  <si>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</si>
  <si>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</si>
  <si>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</si>
  <si>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</si>
  <si>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4575414#1</t>
  </si>
  <si>
    <t>Skmservicios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</si>
  <si>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</si>
  <si>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</si>
  <si>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</si>
  <si>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</si>
  <si>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</si>
  <si>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</si>
  <si>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</si>
  <si>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</si>
  <si>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</si>
  <si>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</si>
  <si>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4621674#1</t>
  </si>
  <si>
    <t>SIMA INGENIEROS-SERVICIOS AMBIENTALES-RESIDUOS SOLIDOS-RESIDUOS LIQUIDOS-ALQUIER MAQUINARIA-</t>
  </si>
  <si>
    <t>3402597#1</t>
  </si>
  <si>
    <t>Prepanama</t>
  </si>
  <si>
    <t>4527503#1</t>
  </si>
  <si>
    <t>Cucina Ideale</t>
  </si>
  <si>
    <t>4542872#1</t>
  </si>
  <si>
    <t>SITCR</t>
  </si>
  <si>
    <t xml:space="preserve">4652243#1
</t>
  </si>
  <si>
    <t>Grupo Cantarell</t>
  </si>
  <si>
    <t>4647508#1</t>
  </si>
  <si>
    <t>Rgctecnologias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</si>
  <si>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</si>
  <si>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</si>
  <si>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</si>
  <si>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</si>
  <si>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</si>
  <si>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</si>
  <si>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</si>
  <si>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</si>
  <si>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4334854#1</t>
  </si>
  <si>
    <t>Caliza Arquitectura</t>
  </si>
  <si>
    <t>4592208#1</t>
  </si>
  <si>
    <t>Piedrasfinasecuador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</si>
  <si>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</si>
  <si>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</si>
  <si>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</si>
  <si>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</si>
  <si>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</si>
  <si>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</si>
  <si>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</si>
  <si>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</si>
  <si>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4331470#1</t>
  </si>
  <si>
    <t>Grupoangal</t>
  </si>
  <si>
    <t>2984994#1</t>
  </si>
  <si>
    <t>esmet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</si>
  <si>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</si>
  <si>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</si>
  <si>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</si>
  <si>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</si>
  <si>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</si>
  <si>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</si>
  <si>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</si>
  <si>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</si>
  <si>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4421200#1</t>
  </si>
  <si>
    <t>Ergoinova</t>
  </si>
  <si>
    <t>4532940#1</t>
  </si>
  <si>
    <t>Csiing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</si>
  <si>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</si>
  <si>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</si>
  <si>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</si>
  <si>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</si>
  <si>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</si>
  <si>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</si>
  <si>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</si>
  <si>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</si>
  <si>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1674741#1</t>
  </si>
  <si>
    <t>Ingencer</t>
  </si>
  <si>
    <t>1037404#1</t>
  </si>
  <si>
    <t>design servicios inmobiliarios eirl</t>
  </si>
  <si>
    <t>1347606#1</t>
  </si>
  <si>
    <t>Sandiego</t>
  </si>
  <si>
    <t>1061146#1</t>
  </si>
  <si>
    <t>ENGINEERING S.A.</t>
  </si>
  <si>
    <t>4544239#1</t>
  </si>
  <si>
    <t>Net</t>
  </si>
  <si>
    <t>4405209#1</t>
  </si>
  <si>
    <t>3vgq3g</t>
  </si>
  <si>
    <t>1255756#1</t>
  </si>
  <si>
    <t>Quo Marketing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</si>
  <si>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</si>
  <si>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</si>
  <si>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</si>
  <si>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</si>
  <si>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</si>
  <si>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</si>
  <si>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</si>
  <si>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</si>
  <si>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2265364#1</t>
  </si>
  <si>
    <t>Personal Administrativo SysOp</t>
  </si>
  <si>
    <t>847086#1</t>
  </si>
  <si>
    <t>muro studio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</si>
  <si>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</si>
  <si>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</si>
  <si>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</si>
  <si>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</si>
  <si>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</si>
  <si>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</si>
  <si>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</si>
  <si>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</si>
  <si>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3870696#1</t>
  </si>
  <si>
    <t>Edemexicali</t>
  </si>
  <si>
    <t>2208664#1</t>
  </si>
  <si>
    <t>Grupo Gauros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</si>
  <si>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</si>
  <si>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</si>
  <si>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</si>
  <si>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</si>
  <si>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</si>
  <si>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</si>
  <si>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</si>
  <si>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</si>
  <si>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4529353#1</t>
  </si>
  <si>
    <t>Grupohegor</t>
  </si>
  <si>
    <t>3530170#1</t>
  </si>
  <si>
    <t>PMD arquitectura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</si>
  <si>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</si>
  <si>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</si>
  <si>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</si>
  <si>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</si>
  <si>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</si>
  <si>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</si>
  <si>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</si>
  <si>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</si>
  <si>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4419134#1</t>
  </si>
  <si>
    <t>Romor</t>
  </si>
  <si>
    <t>4575388#1</t>
  </si>
  <si>
    <t>Inerciaba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</si>
  <si>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</si>
  <si>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</si>
  <si>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</si>
  <si>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</si>
  <si>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</si>
  <si>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</si>
  <si>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</si>
  <si>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</si>
  <si>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4546845#1</t>
  </si>
  <si>
    <t>Avodahelsalvador</t>
  </si>
  <si>
    <t>1231932#1</t>
  </si>
  <si>
    <t>Cegne San Antonio De Padua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</si>
  <si>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</si>
  <si>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</si>
  <si>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</si>
  <si>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</si>
  <si>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</si>
  <si>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</si>
  <si>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</si>
  <si>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</si>
  <si>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4533070#1</t>
  </si>
  <si>
    <t>Loto Real Del Cibao</t>
  </si>
  <si>
    <t>4372035#1</t>
  </si>
  <si>
    <t>Distritoperseverancia</t>
  </si>
  <si>
    <t>4609792#1</t>
  </si>
  <si>
    <t>HDC Arquitectura</t>
  </si>
  <si>
    <t>4577668#1</t>
  </si>
  <si>
    <t>Enecomsi</t>
  </si>
  <si>
    <t>4471208#1</t>
  </si>
  <si>
    <t>Versatilarquitectos</t>
  </si>
  <si>
    <t>1069707#1</t>
  </si>
  <si>
    <t>Universo Abanza</t>
  </si>
  <si>
    <t>Big Deal - Approved assets: 10 out of 25 machines</t>
  </si>
  <si>
    <t>4405941#1</t>
  </si>
  <si>
    <t>HDH ingeniería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</si>
  <si>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</si>
  <si>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</si>
  <si>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</si>
  <si>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</si>
  <si>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</si>
  <si>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</si>
  <si>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</si>
  <si>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2129324#1</t>
  </si>
  <si>
    <t>Concorda10</t>
  </si>
  <si>
    <t>939725#1</t>
  </si>
  <si>
    <t>AF arquitectura</t>
  </si>
  <si>
    <t>1739414#2</t>
  </si>
  <si>
    <t>Dalcor Sac</t>
  </si>
  <si>
    <t>4500893#1</t>
  </si>
  <si>
    <t>Reeivarquitectos</t>
  </si>
  <si>
    <t>923536#1</t>
  </si>
  <si>
    <t>REZ MASUD Inmobiliaria</t>
  </si>
  <si>
    <t>4536621#1</t>
  </si>
  <si>
    <t>Nadaestudio</t>
  </si>
  <si>
    <t>603858#1</t>
  </si>
  <si>
    <t>Bravaestudio</t>
  </si>
  <si>
    <t>380099#1</t>
  </si>
  <si>
    <t>Colcar Merbus</t>
  </si>
  <si>
    <t>4481196#1</t>
  </si>
  <si>
    <t>Iesystems</t>
  </si>
  <si>
    <t>4299564#1</t>
  </si>
  <si>
    <t>Oblak Hnos. S.A.C.I.F.e I.</t>
  </si>
  <si>
    <t>4644989#1</t>
  </si>
  <si>
    <t>Obregon Coconut Company Ltd - Farms.</t>
  </si>
  <si>
    <t>896309#1</t>
  </si>
  <si>
    <t>Gladis Lerna Castillo</t>
  </si>
  <si>
    <t>Big Deal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</si>
  <si>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</si>
  <si>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</si>
  <si>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</si>
  <si>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</si>
  <si>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</si>
  <si>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</si>
  <si>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</si>
  <si>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4569899#1</t>
  </si>
  <si>
    <t>Onelectric</t>
  </si>
  <si>
    <t>3256671#1</t>
  </si>
  <si>
    <t>Gmpobras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</si>
  <si>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</si>
  <si>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</si>
  <si>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</si>
  <si>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</si>
  <si>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</si>
  <si>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</si>
  <si>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</si>
  <si>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4607391#1</t>
  </si>
  <si>
    <t>Psproyectosrd</t>
  </si>
  <si>
    <t>4400456#1</t>
  </si>
  <si>
    <t>Mlmiron</t>
  </si>
  <si>
    <t>3885743#1</t>
  </si>
  <si>
    <t>Metrocubico</t>
  </si>
  <si>
    <t>4530153#1</t>
  </si>
  <si>
    <t>Exacontratistas</t>
  </si>
  <si>
    <t>4334914#1</t>
  </si>
  <si>
    <t>Tolder</t>
  </si>
  <si>
    <t>1027831#1</t>
  </si>
  <si>
    <t>Ortiz y Anderson</t>
  </si>
  <si>
    <t>4546369#1</t>
  </si>
  <si>
    <t>Frigoconcepcion</t>
  </si>
  <si>
    <t>1293645#1</t>
  </si>
  <si>
    <t>RIGO INDUSTRIAS</t>
  </si>
  <si>
    <t>4384577#1</t>
  </si>
  <si>
    <t>Gallagro</t>
  </si>
  <si>
    <t>956312#1</t>
  </si>
  <si>
    <t>Maduro</t>
  </si>
  <si>
    <t>4649451#1</t>
  </si>
  <si>
    <t>Gapper</t>
  </si>
  <si>
    <t>2233008#1</t>
  </si>
  <si>
    <t>Fibermex</t>
  </si>
  <si>
    <t>4421998#1</t>
  </si>
  <si>
    <t>Rossettidesarrollos</t>
  </si>
  <si>
    <t>2511973#1</t>
  </si>
  <si>
    <t>Cad</t>
  </si>
  <si>
    <t>4523042#1</t>
  </si>
  <si>
    <t>ICE INGENIEROS S.A.</t>
  </si>
  <si>
    <t>4386493#1</t>
  </si>
  <si>
    <t>Pintegralco Servicios Integrales</t>
  </si>
  <si>
    <t>1036506#1</t>
  </si>
  <si>
    <t>Constructora Pedralbes</t>
  </si>
  <si>
    <t>4538827#1</t>
  </si>
  <si>
    <t>Madenco</t>
  </si>
  <si>
    <t>4378665#1</t>
  </si>
  <si>
    <t>Armetalsrl</t>
  </si>
  <si>
    <t>1282768#1</t>
  </si>
  <si>
    <t>Grupomsp</t>
  </si>
  <si>
    <t>4608487#1</t>
  </si>
  <si>
    <t>Manterolainteriorismo</t>
  </si>
  <si>
    <t>4583942#1</t>
  </si>
  <si>
    <t>Canko</t>
  </si>
  <si>
    <t>579977#1</t>
  </si>
  <si>
    <t>CONTINENTAL ENGINEERING, S.A. (ICONSA)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</si>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</sst>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ae3c4f7a-9127-4406-bf12-5745f261972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652243#1 "/>
        <s v="4334854#1"/>
        <s v="4331470#1"/>
        <s v="4421200#1"/>
        <s v="1674741#1"/>
        <s v="4405209#1"/>
        <s v="2265364#1"/>
        <s v="3870696#1"/>
        <s v="4529353#1"/>
        <s v="4419134#1"/>
        <s v="4546845#1"/>
        <s v="4533070#1"/>
        <s v="1069707#1"/>
        <s v="2129324#1"/>
        <s v="4536621#1"/>
        <s v="4644989#1"/>
        <s v="4569899#1"/>
        <s v="4607391#1"/>
        <s v="1027831#1"/>
        <s v="956312#1"/>
        <s v="2511973#1"/>
        <s v="1036506#1"/>
        <s v="1282768#1"/>
        <s v="579977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s v="Romor"/>
        <s v="Avodahelsalvador"/>
        <s v="Loto Real Del Cibao"/>
        <s v="Universo Abanza"/>
        <s v="Concorda10"/>
        <s v="Nadaestudio"/>
        <s v="Obregon Coconut Company Ltd - Farms."/>
        <s v="Onelectric"/>
        <s v="Psproyectosrd"/>
        <s v="Ortiz y Anderson"/>
        <s v="Maduro"/>
        <s v="Cad"/>
        <s v="Constructora Pedralbes"/>
        <s v="Grupomsp"/>
        <s v="CONTINENTAL ENGINEERING, S.A. (ICONSA)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 - Not multiple case. Other case was wrongly associated."/>
        <s v="Big Deal - Approved assets: 14 out of 16 machines"/>
        <s v="Big Deal - Approved assets: 10 out of 25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 4551640#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s v="4575414#1"/>
        <s v="4621674#1"/>
        <s v="4647508#1"/>
        <s v="4592208#1"/>
        <s v="2984994#1"/>
        <s v="4532940#1"/>
        <s v="1037404#1"/>
        <s v="1255756#1"/>
        <s v="847086#1"/>
        <s v="2208664#1"/>
        <s v="3530170#1"/>
        <s v="4575388#1"/>
        <s v="1231932#1"/>
        <s v="4372035#1"/>
        <s v="4405941#1"/>
        <s v="939725#1"/>
        <s v="603858#1"/>
        <s v="896309#1"/>
        <s v="3256671#1"/>
        <s v="4400456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s v="Skmservicios"/>
        <s v="SIMA INGENIEROS-SERVICIOS AMBIENTALES-RESIDUOS SOLIDOS-RESIDUOS LIQUIDOS-ALQUIER MAQUINARIA-"/>
        <s v="Rgctecnologias"/>
        <s v="Piedrasfinasecuador"/>
        <s v="esmet"/>
        <s v="Csiing"/>
        <s v="design servicios inmobiliarios eirl"/>
        <s v="Quo Marketing"/>
        <s v="muro studio"/>
        <s v="Grupo Gauros"/>
        <s v="PMD arquitectura"/>
        <s v="Inerciaba"/>
        <s v="Cegne San Antonio De Padua"/>
        <s v="Distritoperseverancia"/>
        <s v="HDH ingeniería"/>
        <s v="AF arquitectura"/>
        <s v="Bravaestudio"/>
        <s v="Gladis Lerna Castillo"/>
        <s v="Gmpobras"/>
        <s v="Mlmiron"/>
        <m/>
      </sharedItems>
    </cacheField>
    <cacheField name="Country" numFmtId="0">
      <sharedItems containsBlank="1">
        <s v="Argentina"/>
        <s v="Colombia"/>
        <m/>
        <s v="Chile"/>
        <s v="Ecuador"/>
        <s v="Paraguay"/>
        <s v="Bolivia"/>
        <s v="Peru"/>
        <s v="Uruguay"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  <s v="Big Deal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6"/>
        <item x="3"/>
        <item x="1"/>
        <item x="4"/>
        <item x="5"/>
        <item x="7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autoFilter ref="$AH$1:$AN$995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ae3c4f7a-9127-4406-bf12-5745f2619720}" id="{e232c2cc-bcaa-441f-b7e5-d2efa2b93da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33</v>
      </c>
      <c r="F91" s="246">
        <f t="shared" ref="F91:F93" si="5">C91-E91</f>
        <v>7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34</v>
      </c>
      <c r="L91" s="33">
        <f t="shared" ref="L91:L95" si="6">I91-K91</f>
        <v>-9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23</v>
      </c>
      <c r="F92" s="246">
        <f t="shared" si="5"/>
        <v>17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14</v>
      </c>
      <c r="L92" s="33">
        <f t="shared" si="6"/>
        <v>11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38</v>
      </c>
      <c r="F93" s="246">
        <f t="shared" si="5"/>
        <v>2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6</v>
      </c>
      <c r="L94" s="33">
        <f t="shared" si="6"/>
        <v>9</v>
      </c>
    </row>
    <row r="95" outlineLevel="1">
      <c r="D95" s="10"/>
      <c r="E95" s="37" t="s">
        <v>41</v>
      </c>
      <c r="F95" s="38">
        <f>SUM(F91:F93)</f>
        <v>26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14</v>
      </c>
      <c r="L95" s="33">
        <f t="shared" si="6"/>
        <v>6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33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 t="b">
        <v>1</v>
      </c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 t="b">
        <v>1</v>
      </c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 t="b">
        <v>1</v>
      </c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/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 t="b">
        <v>1</v>
      </c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 t="b">
        <v>1</v>
      </c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 t="b">
        <v>1</v>
      </c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 t="b">
        <v>1</v>
      </c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 t="b">
        <v>1</v>
      </c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 t="b">
        <v>1</v>
      </c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 t="b">
        <v>1</v>
      </c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 t="b">
        <v>1</v>
      </c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 t="b">
        <v>1</v>
      </c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 t="b">
        <v>1</v>
      </c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 t="b">
        <v>1</v>
      </c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 t="b">
        <v>1</v>
      </c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 t="b">
        <v>1</v>
      </c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 t="b">
        <v>1</v>
      </c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 t="b">
        <v>1</v>
      </c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 t="b">
        <v>1</v>
      </c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 t="b">
        <v>1</v>
      </c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 t="b">
        <v>1</v>
      </c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 t="b">
        <v>1</v>
      </c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 t="b">
        <v>1</v>
      </c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 t="b">
        <v>1</v>
      </c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 t="b">
        <v>1</v>
      </c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 t="b">
        <v>1</v>
      </c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 t="b">
        <v>1</v>
      </c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69" t="b">
        <v>1</v>
      </c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 t="b">
        <v>1</v>
      </c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 t="b">
        <v>1</v>
      </c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 t="b">
        <v>1</v>
      </c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 t="b">
        <v>1</v>
      </c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69" t="b">
        <v>1</v>
      </c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4529</v>
      </c>
      <c r="AR70" s="273" t="s">
        <v>4530</v>
      </c>
      <c r="AS70" s="274" t="s">
        <v>18</v>
      </c>
      <c r="AT70" s="274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4531</v>
      </c>
      <c r="D71" s="373" t="s">
        <v>4532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4533</v>
      </c>
      <c r="L71" s="294" t="s">
        <v>4534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4535</v>
      </c>
      <c r="T71" s="273" t="s">
        <v>4536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4537</v>
      </c>
      <c r="AB71" s="498" t="s">
        <v>4538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4539</v>
      </c>
      <c r="AJ71" s="273" t="s">
        <v>4540</v>
      </c>
      <c r="AK71" s="274" t="s">
        <v>10</v>
      </c>
      <c r="AL71" s="58" t="s">
        <v>12</v>
      </c>
      <c r="AM71" s="61"/>
      <c r="AN71" s="298"/>
      <c r="AP71" s="380">
        <v>46190.0</v>
      </c>
      <c r="AQ71" s="405" t="s">
        <v>4541</v>
      </c>
      <c r="AR71" s="405" t="s">
        <v>4542</v>
      </c>
      <c r="AS71" s="406" t="s">
        <v>27</v>
      </c>
      <c r="AT71" s="406" t="s">
        <v>2338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4543</v>
      </c>
      <c r="D72" s="294" t="s">
        <v>4544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4545</v>
      </c>
      <c r="L72" s="273" t="s">
        <v>4546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4547</v>
      </c>
      <c r="T72" s="273" t="s">
        <v>4548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4549</v>
      </c>
      <c r="AJ72" s="373" t="s">
        <v>4550</v>
      </c>
      <c r="AK72" s="58" t="s">
        <v>22</v>
      </c>
      <c r="AL72" s="58" t="s">
        <v>28</v>
      </c>
      <c r="AM72" s="61"/>
      <c r="AN72" s="298"/>
      <c r="AP72" s="382">
        <v>46190.0</v>
      </c>
      <c r="AQ72" s="430" t="s">
        <v>4551</v>
      </c>
      <c r="AR72" s="430" t="s">
        <v>4552</v>
      </c>
      <c r="AS72" s="410" t="s">
        <v>21</v>
      </c>
      <c r="AT72" s="410" t="s">
        <v>2338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4553</v>
      </c>
      <c r="D73" s="273" t="s">
        <v>4554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4555</v>
      </c>
      <c r="L73" s="294" t="s">
        <v>4556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4557</v>
      </c>
      <c r="T73" s="294" t="s">
        <v>4558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4559</v>
      </c>
      <c r="AB73" s="498" t="s">
        <v>4560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294" t="s">
        <v>4561</v>
      </c>
      <c r="AJ73" s="411" t="s">
        <v>4562</v>
      </c>
      <c r="AK73" s="295" t="s">
        <v>22</v>
      </c>
      <c r="AL73" s="58" t="s">
        <v>12</v>
      </c>
      <c r="AM73" s="61"/>
      <c r="AN73" s="298"/>
      <c r="AP73" s="380">
        <v>46190.0</v>
      </c>
      <c r="AQ73" s="294" t="s">
        <v>4563</v>
      </c>
      <c r="AR73" s="294" t="s">
        <v>4564</v>
      </c>
      <c r="AS73" s="381" t="s">
        <v>30</v>
      </c>
      <c r="AT73" s="295" t="s">
        <v>2338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4565</v>
      </c>
      <c r="D74" s="294" t="s">
        <v>4566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4567</v>
      </c>
      <c r="L74" s="273" t="s">
        <v>4568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4569</v>
      </c>
      <c r="T74" s="109" t="s">
        <v>4570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4571</v>
      </c>
      <c r="AB74" s="465" t="s">
        <v>4572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273" t="s">
        <v>4573</v>
      </c>
      <c r="AJ74" s="413" t="s">
        <v>4574</v>
      </c>
      <c r="AK74" s="274" t="s">
        <v>22</v>
      </c>
      <c r="AL74" s="58" t="s">
        <v>12</v>
      </c>
      <c r="AM74" s="61"/>
      <c r="AN74" s="298"/>
      <c r="AP74" s="403">
        <v>46191.0</v>
      </c>
      <c r="AQ74" s="294" t="s">
        <v>4575</v>
      </c>
      <c r="AR74" s="294" t="s">
        <v>4576</v>
      </c>
      <c r="AS74" s="295" t="s">
        <v>11</v>
      </c>
      <c r="AT74" s="295" t="s">
        <v>2337</v>
      </c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4577</v>
      </c>
      <c r="D75" s="273" t="s">
        <v>4578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4579</v>
      </c>
      <c r="L75" s="294" t="s">
        <v>4580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4581</v>
      </c>
      <c r="T75" s="109" t="s">
        <v>4582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4583</v>
      </c>
      <c r="AB75" s="498" t="s">
        <v>4584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4585</v>
      </c>
      <c r="AJ75" s="411" t="s">
        <v>4586</v>
      </c>
      <c r="AK75" s="295" t="s">
        <v>22</v>
      </c>
      <c r="AL75" s="58" t="s">
        <v>12</v>
      </c>
      <c r="AM75" s="61"/>
      <c r="AN75" s="298"/>
      <c r="AP75" s="401">
        <v>46191.0</v>
      </c>
      <c r="AQ75" s="273" t="s">
        <v>4587</v>
      </c>
      <c r="AR75" s="273" t="s">
        <v>4588</v>
      </c>
      <c r="AS75" s="274" t="s">
        <v>25</v>
      </c>
      <c r="AT75" s="274" t="s">
        <v>2337</v>
      </c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4589</v>
      </c>
      <c r="D76" s="294" t="s">
        <v>4590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4591</v>
      </c>
      <c r="L76" s="273" t="s">
        <v>4592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4593</v>
      </c>
      <c r="T76" s="109" t="s">
        <v>4594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4595</v>
      </c>
      <c r="AB76" s="465" t="s">
        <v>4596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4597</v>
      </c>
      <c r="AJ76" s="413" t="s">
        <v>4598</v>
      </c>
      <c r="AK76" s="274" t="s">
        <v>22</v>
      </c>
      <c r="AL76" s="58" t="s">
        <v>12</v>
      </c>
      <c r="AM76" s="61"/>
      <c r="AN76" s="298"/>
      <c r="AP76" s="403">
        <v>46191.0</v>
      </c>
      <c r="AQ76" s="294" t="s">
        <v>4599</v>
      </c>
      <c r="AR76" s="294" t="s">
        <v>4600</v>
      </c>
      <c r="AS76" s="295" t="s">
        <v>23</v>
      </c>
      <c r="AT76" s="295" t="s">
        <v>2337</v>
      </c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4601</v>
      </c>
      <c r="D77" s="373" t="s">
        <v>4602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4603</v>
      </c>
      <c r="L77" s="109" t="s">
        <v>4604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4605</v>
      </c>
      <c r="T77" s="294" t="s">
        <v>4606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4607</v>
      </c>
      <c r="AJ77" s="411" t="s">
        <v>4608</v>
      </c>
      <c r="AK77" s="295" t="s">
        <v>22</v>
      </c>
      <c r="AL77" s="58" t="s">
        <v>12</v>
      </c>
      <c r="AM77" s="61"/>
      <c r="AN77" s="298"/>
      <c r="AP77" s="270">
        <v>46191.0</v>
      </c>
      <c r="AQ77" s="109" t="s">
        <v>4609</v>
      </c>
      <c r="AR77" s="109" t="s">
        <v>4610</v>
      </c>
      <c r="AS77" s="58" t="s">
        <v>11</v>
      </c>
      <c r="AT77" s="58" t="s">
        <v>20</v>
      </c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4611</v>
      </c>
      <c r="D78" s="373" t="s">
        <v>4612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4613</v>
      </c>
      <c r="L78" s="109" t="s">
        <v>4614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4615</v>
      </c>
      <c r="T78" s="273" t="s">
        <v>4616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4617</v>
      </c>
      <c r="AB78" s="498" t="s">
        <v>4618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4619</v>
      </c>
      <c r="AJ78" s="413" t="s">
        <v>4620</v>
      </c>
      <c r="AK78" s="274" t="s">
        <v>22</v>
      </c>
      <c r="AL78" s="58" t="s">
        <v>12</v>
      </c>
      <c r="AM78" s="61"/>
      <c r="AN78" s="298"/>
      <c r="AP78" s="270">
        <v>46191.0</v>
      </c>
      <c r="AQ78" s="109" t="s">
        <v>4621</v>
      </c>
      <c r="AR78" s="109" t="s">
        <v>4622</v>
      </c>
      <c r="AS78" s="58" t="s">
        <v>11</v>
      </c>
      <c r="AT78" s="58" t="s">
        <v>20</v>
      </c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4623</v>
      </c>
      <c r="D79" s="373" t="s">
        <v>4624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4625</v>
      </c>
      <c r="L79" s="109" t="s">
        <v>4626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4627</v>
      </c>
      <c r="T79" s="411" t="s">
        <v>4628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4629</v>
      </c>
      <c r="AB79" s="273" t="s">
        <v>4630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4631</v>
      </c>
      <c r="AJ79" s="411" t="s">
        <v>4632</v>
      </c>
      <c r="AK79" s="295" t="s">
        <v>22</v>
      </c>
      <c r="AL79" s="58" t="s">
        <v>12</v>
      </c>
      <c r="AM79" s="61"/>
      <c r="AN79" s="298"/>
      <c r="AP79" s="270">
        <v>46191.0</v>
      </c>
      <c r="AQ79" s="109" t="s">
        <v>4633</v>
      </c>
      <c r="AR79" s="109" t="s">
        <v>4634</v>
      </c>
      <c r="AS79" s="58" t="s">
        <v>11</v>
      </c>
      <c r="AT79" s="58" t="s">
        <v>20</v>
      </c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4635</v>
      </c>
      <c r="D80" s="294" t="s">
        <v>4636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4637</v>
      </c>
      <c r="L80" s="109" t="s">
        <v>4638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4639</v>
      </c>
      <c r="T80" s="413" t="s">
        <v>4640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4641</v>
      </c>
      <c r="AB80" s="294" t="s">
        <v>4642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4643</v>
      </c>
      <c r="AJ80" s="413" t="s">
        <v>4644</v>
      </c>
      <c r="AK80" s="274" t="s">
        <v>22</v>
      </c>
      <c r="AL80" s="58" t="s">
        <v>12</v>
      </c>
      <c r="AM80" s="61"/>
      <c r="AN80" s="298"/>
      <c r="AP80" s="270">
        <v>46191.0</v>
      </c>
      <c r="AQ80" s="109" t="s">
        <v>4645</v>
      </c>
      <c r="AR80" s="109" t="s">
        <v>4646</v>
      </c>
      <c r="AS80" s="58" t="s">
        <v>11</v>
      </c>
      <c r="AT80" s="58" t="s">
        <v>20</v>
      </c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4647</v>
      </c>
      <c r="D81" s="326" t="s">
        <v>4648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4649</v>
      </c>
      <c r="L81" s="109" t="s">
        <v>4650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4651</v>
      </c>
      <c r="T81" s="411" t="s">
        <v>4652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4653</v>
      </c>
      <c r="AB81" s="273" t="s">
        <v>4654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109" t="s">
        <v>4655</v>
      </c>
      <c r="AJ81" s="373" t="s">
        <v>4656</v>
      </c>
      <c r="AK81" s="58" t="s">
        <v>22</v>
      </c>
      <c r="AL81" s="58" t="s">
        <v>9</v>
      </c>
      <c r="AM81" s="61"/>
      <c r="AN81" s="298"/>
      <c r="AP81" s="270">
        <v>46191.0</v>
      </c>
      <c r="AQ81" s="109" t="s">
        <v>4657</v>
      </c>
      <c r="AR81" s="109" t="s">
        <v>4658</v>
      </c>
      <c r="AS81" s="58" t="s">
        <v>11</v>
      </c>
      <c r="AT81" s="58" t="s">
        <v>20</v>
      </c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4659</v>
      </c>
      <c r="D82" s="273" t="s">
        <v>4660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4661</v>
      </c>
      <c r="L82" s="109" t="s">
        <v>4662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4663</v>
      </c>
      <c r="T82" s="413" t="s">
        <v>4664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4665</v>
      </c>
      <c r="AB82" s="294" t="s">
        <v>4666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109" t="s">
        <v>4667</v>
      </c>
      <c r="AJ82" s="373" t="s">
        <v>4668</v>
      </c>
      <c r="AK82" s="58" t="s">
        <v>13</v>
      </c>
      <c r="AL82" s="58" t="s">
        <v>9</v>
      </c>
      <c r="AM82" s="61"/>
      <c r="AN82" s="298"/>
      <c r="AP82" s="270">
        <v>46191.0</v>
      </c>
      <c r="AQ82" s="109" t="s">
        <v>4669</v>
      </c>
      <c r="AR82" s="109" t="s">
        <v>4670</v>
      </c>
      <c r="AS82" s="58" t="s">
        <v>23</v>
      </c>
      <c r="AT82" s="58" t="s">
        <v>20</v>
      </c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4671</v>
      </c>
      <c r="D83" s="294" t="s">
        <v>4672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4673</v>
      </c>
      <c r="L83" s="430" t="s">
        <v>4674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4675</v>
      </c>
      <c r="T83" s="294" t="s">
        <v>4676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4677</v>
      </c>
      <c r="AB83" s="109" t="s">
        <v>4678</v>
      </c>
      <c r="AC83" s="58" t="s">
        <v>27</v>
      </c>
      <c r="AD83" s="58" t="s">
        <v>14</v>
      </c>
      <c r="AE83" s="61"/>
      <c r="AF83" s="269" t="b">
        <v>1</v>
      </c>
      <c r="AH83" s="270">
        <v>46191.0</v>
      </c>
      <c r="AI83" s="109" t="s">
        <v>4679</v>
      </c>
      <c r="AJ83" s="373" t="s">
        <v>4680</v>
      </c>
      <c r="AK83" s="58" t="s">
        <v>44</v>
      </c>
      <c r="AL83" s="58" t="s">
        <v>9</v>
      </c>
      <c r="AM83" s="61"/>
      <c r="AN83" s="298"/>
      <c r="AP83" s="270">
        <v>46191.0</v>
      </c>
      <c r="AQ83" s="109" t="s">
        <v>4681</v>
      </c>
      <c r="AR83" s="109" t="s">
        <v>4682</v>
      </c>
      <c r="AS83" s="58" t="s">
        <v>21</v>
      </c>
      <c r="AT83" s="58" t="s">
        <v>20</v>
      </c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4683</v>
      </c>
      <c r="L84" s="405" t="s">
        <v>4684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4685</v>
      </c>
      <c r="T84" s="273" t="s">
        <v>4686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4687</v>
      </c>
      <c r="AB84" s="273" t="s">
        <v>4688</v>
      </c>
      <c r="AC84" s="402" t="s">
        <v>23</v>
      </c>
      <c r="AD84" s="402" t="s">
        <v>2337</v>
      </c>
      <c r="AE84" s="61"/>
      <c r="AF84" s="269" t="b">
        <v>1</v>
      </c>
      <c r="AH84" s="270">
        <v>46191.0</v>
      </c>
      <c r="AI84" s="109" t="s">
        <v>4689</v>
      </c>
      <c r="AJ84" s="373" t="s">
        <v>4690</v>
      </c>
      <c r="AK84" s="58" t="s">
        <v>22</v>
      </c>
      <c r="AL84" s="58" t="s">
        <v>9</v>
      </c>
      <c r="AM84" s="109" t="s">
        <v>4691</v>
      </c>
      <c r="AN84" s="298"/>
      <c r="AP84" s="270">
        <v>46191.0</v>
      </c>
      <c r="AQ84" s="109" t="s">
        <v>4692</v>
      </c>
      <c r="AR84" s="109" t="s">
        <v>4693</v>
      </c>
      <c r="AS84" s="58" t="s">
        <v>18</v>
      </c>
      <c r="AT84" s="58" t="s">
        <v>20</v>
      </c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4694</v>
      </c>
      <c r="L85" s="273" t="s">
        <v>4695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4696</v>
      </c>
      <c r="T85" s="109" t="s">
        <v>4697</v>
      </c>
      <c r="U85" s="58" t="s">
        <v>22</v>
      </c>
      <c r="V85" s="58" t="s">
        <v>2347</v>
      </c>
      <c r="W85" s="109" t="s">
        <v>4698</v>
      </c>
      <c r="X85" s="298"/>
      <c r="Z85" s="401">
        <v>46184.0</v>
      </c>
      <c r="AA85" s="465" t="s">
        <v>4699</v>
      </c>
      <c r="AB85" s="465" t="s">
        <v>4700</v>
      </c>
      <c r="AC85" s="466" t="s">
        <v>27</v>
      </c>
      <c r="AD85" s="466" t="s">
        <v>14</v>
      </c>
      <c r="AE85" s="487"/>
      <c r="AF85" s="269" t="b">
        <v>1</v>
      </c>
      <c r="AH85" s="270">
        <v>46191.0</v>
      </c>
      <c r="AI85" s="109" t="s">
        <v>4701</v>
      </c>
      <c r="AJ85" s="373" t="s">
        <v>4702</v>
      </c>
      <c r="AK85" s="58" t="s">
        <v>13</v>
      </c>
      <c r="AL85" s="58" t="s">
        <v>2347</v>
      </c>
      <c r="AM85" s="61"/>
      <c r="AN85" s="298"/>
      <c r="AP85" s="401">
        <v>46191.0</v>
      </c>
      <c r="AQ85" s="273" t="s">
        <v>4703</v>
      </c>
      <c r="AR85" s="273" t="s">
        <v>4704</v>
      </c>
      <c r="AS85" s="274" t="s">
        <v>18</v>
      </c>
      <c r="AT85" s="274" t="s">
        <v>2337</v>
      </c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4705</v>
      </c>
      <c r="L86" s="294" t="s">
        <v>4706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4707</v>
      </c>
      <c r="T86" s="109" t="s">
        <v>4708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4709</v>
      </c>
      <c r="AB86" s="498" t="s">
        <v>4710</v>
      </c>
      <c r="AC86" s="471" t="s">
        <v>11</v>
      </c>
      <c r="AD86" s="471" t="s">
        <v>20</v>
      </c>
      <c r="AE86" s="485"/>
      <c r="AF86" s="269" t="b">
        <v>1</v>
      </c>
      <c r="AH86" s="270">
        <v>46191.0</v>
      </c>
      <c r="AI86" s="294" t="s">
        <v>4711</v>
      </c>
      <c r="AJ86" s="294" t="s">
        <v>4712</v>
      </c>
      <c r="AK86" s="295" t="s">
        <v>13</v>
      </c>
      <c r="AL86" s="295" t="s">
        <v>2344</v>
      </c>
      <c r="AM86" s="61"/>
      <c r="AN86" s="298"/>
      <c r="AP86" s="401">
        <v>46191.0</v>
      </c>
      <c r="AQ86" s="109" t="s">
        <v>4713</v>
      </c>
      <c r="AR86" s="109" t="s">
        <v>4714</v>
      </c>
      <c r="AS86" s="58" t="s">
        <v>21</v>
      </c>
      <c r="AT86" s="58" t="s">
        <v>14</v>
      </c>
      <c r="AU86" s="109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4715</v>
      </c>
      <c r="L87" s="294" t="s">
        <v>4716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4717</v>
      </c>
      <c r="T87" s="411" t="s">
        <v>4718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4719</v>
      </c>
      <c r="AB87" s="465" t="s">
        <v>4720</v>
      </c>
      <c r="AC87" s="466" t="s">
        <v>11</v>
      </c>
      <c r="AD87" s="466" t="s">
        <v>20</v>
      </c>
      <c r="AE87" s="500"/>
      <c r="AF87" s="269" t="b">
        <v>1</v>
      </c>
      <c r="AH87" s="270">
        <v>46191.0</v>
      </c>
      <c r="AI87" s="273" t="s">
        <v>4721</v>
      </c>
      <c r="AJ87" s="273" t="s">
        <v>4722</v>
      </c>
      <c r="AK87" s="274" t="s">
        <v>19</v>
      </c>
      <c r="AL87" s="274" t="s">
        <v>2344</v>
      </c>
      <c r="AM87" s="61"/>
      <c r="AN87" s="298"/>
      <c r="AP87" s="401">
        <v>46191.0</v>
      </c>
      <c r="AQ87" s="109" t="s">
        <v>4723</v>
      </c>
      <c r="AR87" s="109" t="s">
        <v>4724</v>
      </c>
      <c r="AS87" s="58" t="s">
        <v>23</v>
      </c>
      <c r="AT87" s="58" t="s">
        <v>14</v>
      </c>
      <c r="AU87" s="109" t="s">
        <v>4725</v>
      </c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4726</v>
      </c>
      <c r="L88" s="273" t="s">
        <v>4727</v>
      </c>
      <c r="M88" s="517" t="s">
        <v>11</v>
      </c>
      <c r="N88" s="402" t="s">
        <v>2338</v>
      </c>
      <c r="O88" s="109" t="s">
        <v>4728</v>
      </c>
      <c r="P88" s="269"/>
      <c r="R88" s="270">
        <v>46187.0</v>
      </c>
      <c r="S88" s="273" t="s">
        <v>4729</v>
      </c>
      <c r="T88" s="413" t="s">
        <v>4730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4731</v>
      </c>
      <c r="AB88" s="498" t="s">
        <v>4732</v>
      </c>
      <c r="AC88" s="471" t="s">
        <v>11</v>
      </c>
      <c r="AD88" s="471" t="s">
        <v>20</v>
      </c>
      <c r="AE88" s="485"/>
      <c r="AF88" s="269" t="b">
        <v>1</v>
      </c>
      <c r="AH88" s="270">
        <v>46191.0</v>
      </c>
      <c r="AI88" s="294" t="s">
        <v>4733</v>
      </c>
      <c r="AJ88" s="294" t="s">
        <v>4734</v>
      </c>
      <c r="AK88" s="295" t="s">
        <v>13</v>
      </c>
      <c r="AL88" s="295" t="s">
        <v>2344</v>
      </c>
      <c r="AM88" s="61"/>
      <c r="AN88" s="298"/>
      <c r="AP88" s="401">
        <v>46191.0</v>
      </c>
      <c r="AQ88" s="109" t="s">
        <v>4735</v>
      </c>
      <c r="AR88" s="109" t="s">
        <v>4736</v>
      </c>
      <c r="AS88" s="58" t="s">
        <v>11</v>
      </c>
      <c r="AT88" s="58" t="s">
        <v>14</v>
      </c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4737</v>
      </c>
      <c r="L89" s="430" t="s">
        <v>4738</v>
      </c>
      <c r="M89" s="518" t="s">
        <v>11</v>
      </c>
      <c r="N89" s="431" t="s">
        <v>2338</v>
      </c>
      <c r="O89" s="109" t="s">
        <v>4739</v>
      </c>
      <c r="P89" s="269" t="b">
        <v>1</v>
      </c>
      <c r="R89" s="270">
        <v>46187.0</v>
      </c>
      <c r="S89" s="294" t="s">
        <v>4740</v>
      </c>
      <c r="T89" s="411" t="s">
        <v>4741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4742</v>
      </c>
      <c r="AB89" s="465" t="s">
        <v>4743</v>
      </c>
      <c r="AC89" s="466" t="s">
        <v>11</v>
      </c>
      <c r="AD89" s="466" t="s">
        <v>20</v>
      </c>
      <c r="AE89" s="500"/>
      <c r="AF89" s="269" t="b">
        <v>1</v>
      </c>
      <c r="AH89" s="270">
        <v>46191.0</v>
      </c>
      <c r="AI89" s="273" t="s">
        <v>4744</v>
      </c>
      <c r="AJ89" s="273" t="s">
        <v>4745</v>
      </c>
      <c r="AK89" s="274" t="s">
        <v>44</v>
      </c>
      <c r="AL89" s="274" t="s">
        <v>2344</v>
      </c>
      <c r="AM89" s="61"/>
      <c r="AN89" s="298"/>
      <c r="AP89" s="401">
        <v>46191.0</v>
      </c>
      <c r="AQ89" s="109" t="s">
        <v>4746</v>
      </c>
      <c r="AR89" s="109" t="s">
        <v>4747</v>
      </c>
      <c r="AS89" s="58" t="s">
        <v>11</v>
      </c>
      <c r="AT89" s="58" t="s">
        <v>14</v>
      </c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4748</v>
      </c>
      <c r="L90" s="520" t="s">
        <v>4749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4750</v>
      </c>
      <c r="T90" s="413" t="s">
        <v>4751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4752</v>
      </c>
      <c r="AB90" s="109" t="s">
        <v>4753</v>
      </c>
      <c r="AC90" s="271" t="s">
        <v>11</v>
      </c>
      <c r="AD90" s="58" t="s">
        <v>20</v>
      </c>
      <c r="AE90" s="109"/>
      <c r="AF90" s="269" t="b">
        <v>1</v>
      </c>
      <c r="AH90" s="270">
        <v>46191.0</v>
      </c>
      <c r="AI90" s="312" t="s">
        <v>4754</v>
      </c>
      <c r="AJ90" s="373" t="s">
        <v>4755</v>
      </c>
      <c r="AK90" s="58" t="s">
        <v>10</v>
      </c>
      <c r="AL90" s="58" t="s">
        <v>2344</v>
      </c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4756</v>
      </c>
      <c r="L91" s="294" t="s">
        <v>4757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4758</v>
      </c>
      <c r="T91" s="312" t="s">
        <v>4759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4760</v>
      </c>
      <c r="AB91" s="109" t="s">
        <v>4761</v>
      </c>
      <c r="AC91" s="58" t="s">
        <v>11</v>
      </c>
      <c r="AD91" s="58" t="s">
        <v>20</v>
      </c>
      <c r="AE91" s="61"/>
      <c r="AF91" s="269" t="b">
        <v>1</v>
      </c>
      <c r="AH91" s="270">
        <v>46191.0</v>
      </c>
      <c r="AI91" s="312" t="s">
        <v>4762</v>
      </c>
      <c r="AJ91" s="373" t="s">
        <v>4763</v>
      </c>
      <c r="AK91" s="58" t="s">
        <v>24</v>
      </c>
      <c r="AL91" s="58" t="s">
        <v>2344</v>
      </c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4764</v>
      </c>
      <c r="L92" s="273" t="s">
        <v>4765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4766</v>
      </c>
      <c r="T92" s="312" t="s">
        <v>4767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4768</v>
      </c>
      <c r="AB92" s="109" t="s">
        <v>4769</v>
      </c>
      <c r="AC92" s="58" t="s">
        <v>11</v>
      </c>
      <c r="AD92" s="58" t="s">
        <v>20</v>
      </c>
      <c r="AE92" s="61"/>
      <c r="AF92" s="269" t="b">
        <v>1</v>
      </c>
      <c r="AH92" s="270">
        <v>46191.0</v>
      </c>
      <c r="AI92" s="312" t="s">
        <v>4770</v>
      </c>
      <c r="AJ92" s="373" t="s">
        <v>4771</v>
      </c>
      <c r="AK92" s="58" t="s">
        <v>16</v>
      </c>
      <c r="AL92" s="58" t="s">
        <v>2344</v>
      </c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4772</v>
      </c>
      <c r="L93" s="294" t="s">
        <v>4773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4774</v>
      </c>
      <c r="AB93" s="109" t="s">
        <v>4775</v>
      </c>
      <c r="AC93" s="58" t="s">
        <v>11</v>
      </c>
      <c r="AD93" s="58" t="s">
        <v>20</v>
      </c>
      <c r="AE93" s="61"/>
      <c r="AF93" s="269" t="b">
        <v>1</v>
      </c>
      <c r="AH93" s="270">
        <v>46191.0</v>
      </c>
      <c r="AI93" s="312" t="s">
        <v>4776</v>
      </c>
      <c r="AJ93" s="373" t="s">
        <v>4777</v>
      </c>
      <c r="AK93" s="58" t="s">
        <v>44</v>
      </c>
      <c r="AL93" s="58" t="s">
        <v>2344</v>
      </c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4778</v>
      </c>
      <c r="L94" s="273" t="s">
        <v>4779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4780</v>
      </c>
      <c r="AB94" s="109" t="s">
        <v>4781</v>
      </c>
      <c r="AC94" s="58" t="s">
        <v>11</v>
      </c>
      <c r="AD94" s="58" t="s">
        <v>20</v>
      </c>
      <c r="AE94" s="61"/>
      <c r="AF94" s="269" t="b">
        <v>1</v>
      </c>
      <c r="AH94" s="270">
        <v>46191.0</v>
      </c>
      <c r="AI94" s="312" t="s">
        <v>4782</v>
      </c>
      <c r="AJ94" s="312" t="s">
        <v>4783</v>
      </c>
      <c r="AK94" s="58" t="s">
        <v>19</v>
      </c>
      <c r="AL94" s="58" t="s">
        <v>2344</v>
      </c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4784</v>
      </c>
      <c r="L95" s="294" t="s">
        <v>4785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4786</v>
      </c>
      <c r="AB95" s="294" t="s">
        <v>4787</v>
      </c>
      <c r="AC95" s="409" t="s">
        <v>18</v>
      </c>
      <c r="AD95" s="391" t="s">
        <v>2338</v>
      </c>
      <c r="AE95" s="61"/>
      <c r="AF95" s="269" t="b">
        <v>1</v>
      </c>
      <c r="AH95" s="270">
        <v>46191.0</v>
      </c>
      <c r="AI95" s="312" t="s">
        <v>4788</v>
      </c>
      <c r="AJ95" s="312" t="s">
        <v>4789</v>
      </c>
      <c r="AK95" s="58" t="s">
        <v>24</v>
      </c>
      <c r="AL95" s="58" t="s">
        <v>2347</v>
      </c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4790</v>
      </c>
      <c r="L96" s="273" t="s">
        <v>4791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4792</v>
      </c>
      <c r="AB96" s="273" t="s">
        <v>4793</v>
      </c>
      <c r="AC96" s="395" t="s">
        <v>11</v>
      </c>
      <c r="AD96" s="431" t="s">
        <v>2338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4794</v>
      </c>
      <c r="L97" s="294" t="s">
        <v>4795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4796</v>
      </c>
      <c r="AB97" s="294" t="s">
        <v>4797</v>
      </c>
      <c r="AC97" s="409" t="s">
        <v>27</v>
      </c>
      <c r="AD97" s="391" t="s">
        <v>2338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4798</v>
      </c>
      <c r="AB98" s="498" t="s">
        <v>4799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4800</v>
      </c>
      <c r="AB99" s="273" t="s">
        <v>4801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4802</v>
      </c>
      <c r="AB100" s="294" t="s">
        <v>4803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4804</v>
      </c>
      <c r="AB101" s="273" t="s">
        <v>4805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4806</v>
      </c>
      <c r="AB102" s="294" t="s">
        <v>4807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4808</v>
      </c>
      <c r="AB103" s="273" t="s">
        <v>4809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4810</v>
      </c>
      <c r="AB104" s="294" t="s">
        <v>4811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4812</v>
      </c>
      <c r="AB105" s="273" t="s">
        <v>4813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4814</v>
      </c>
      <c r="AB106" s="294" t="s">
        <v>4815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4816</v>
      </c>
      <c r="AB107" s="273" t="s">
        <v>4817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4818</v>
      </c>
      <c r="AB108" s="294" t="s">
        <v>4819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4820</v>
      </c>
      <c r="AB109" s="273" t="s">
        <v>4821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4822</v>
      </c>
      <c r="AB110" s="273" t="s">
        <v>4823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4824</v>
      </c>
      <c r="AB111" s="294" t="s">
        <v>4825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4826</v>
      </c>
      <c r="AB112" s="294" t="s">
        <v>4827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4828</v>
      </c>
      <c r="AB113" s="273" t="s">
        <v>4829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4830</v>
      </c>
      <c r="D1000" s="109" t="s">
        <v>4831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4832</v>
      </c>
      <c r="D1001" s="109" t="s">
        <v>4833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4834</v>
      </c>
      <c r="D1002" s="109" t="s">
        <v>4835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