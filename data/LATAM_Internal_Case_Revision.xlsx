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tc={201a05d3-0446-43ec-86a7-68f8d25249cf}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01a05d3-0446-43ec-86a7-68f8d25249c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<sst xmlns="http://schemas.openxmlformats.org/spreadsheetml/2006/main" count="8408" uniqueCount="3736">
  <si>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</si>
  <si>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</si>
  <si>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</si>
  <si>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</si>
  <si>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</si>
  <si>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</si>
  <si>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</si>
  <si>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</si>
  <si>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</si>
  <si>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</si>
  <si>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</si>
  <si>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</si>
  <si>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</si>
  <si>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</si>
  <si>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</si>
  <si>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</si>
  <si>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</si>
  <si>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</si>
  <si>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</si>
  <si>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</si>
  <si>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</si>
  <si>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</si>
  <si>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</si>
  <si>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</si>
  <si>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</si>
  <si>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</si>
  <si>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</si>
  <si>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</si>
  <si>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</si>
  <si>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</si>
  <si>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</si>
  <si>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</si>
  <si>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</si>
  <si>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</si>
  <si>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</si>
  <si>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</si>
  <si>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</si>
  <si>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</si>
  <si>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</si>
  <si>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</si>
  <si>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</si>
  <si>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</si>
  <si>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</si>
  <si>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</si>
  <si>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</si>
  <si>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</si>
  <si>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</si>
  <si>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</si>
  <si>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</si>
  <si>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</si>
  <si>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</si>
  <si>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</si>
  <si>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</si>
  <si>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</si>
  <si>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</si>
  <si>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</si>
  <si>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</si>
  <si>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</si>
  <si>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</si>
  <si>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</si>
  <si>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</si>
  <si>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</si>
  <si>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</si>
  <si>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</si>
  <si>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</si>
  <si>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</si>
  <si>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</si>
  <si>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</si>
  <si>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</si>
  <si>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</si>
  <si>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</si>
  <si>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</si>
  <si>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</si>
  <si>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</si>
  <si>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</si>
  <si>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</si>
  <si>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</si>
  <si>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</si>
  <si>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</si>
  <si>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</si>
  <si>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</si>
  <si>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</si>
  <si>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</si>
  <si>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</si>
  <si>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</si>
  <si>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</si>
  <si>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</si>
  <si>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</si>
  <si>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</si>
  <si>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</si>
  <si>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</si>
  <si>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</si>
  <si>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</si>
  <si>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</si>
  <si>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</si>
  <si>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</si>
  <si>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</si>
  <si>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</si>
  <si>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</si>
  <si>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</si>
  <si>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</si>
  <si>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</si>
  <si>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</si>
  <si>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</si>
  <si>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</si>
  <si>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</si>
  <si>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</si>
  <si>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</si>
  <si>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</si>
  <si>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</si>
  <si>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</si>
  <si>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</si>
  <si>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</si>
  <si>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</si>
  <si>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</si>
  <si>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</si>
  <si>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</si>
  <si>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</si>
  <si>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</si>
  <si>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</si>
  <si>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</si>
  <si>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</si>
  <si>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</si>
  <si>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</si>
  <si>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</si>
  <si>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</si>
  <si>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</si>
  <si>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</si>
  <si>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</si>
  <si>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</si>
  <si>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</si>
  <si>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</si>
  <si>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</si>
  <si>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</si>
  <si>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</si>
  <si>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</si>
  <si>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</si>
  <si>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</si>
  <si>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</si>
  <si>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</si>
  <si>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</si>
  <si>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</si>
  <si>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</si>
  <si>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</si>
  <si>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</si>
  <si>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</si>
  <si>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</si>
  <si>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</si>
  <si>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</si>
  <si>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</si>
  <si>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</si>
  <si>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</si>
  <si>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</si>
  <si>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</si>
  <si>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</si>
  <si>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</si>
  <si>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</si>
  <si>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</si>
  <si>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</si>
  <si>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</si>
  <si>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</si>
  <si>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</si>
  <si>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</si>
  <si>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</si>
  <si>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</si>
  <si>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</si>
  <si>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</si>
  <si>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</si>
  <si>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</si>
  <si>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</si>
  <si>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</si>
  <si>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</si>
  <si>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</si>
  <si>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</si>
  <si>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</si>
  <si>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</si>
  <si>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</si>
  <si>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</si>
  <si>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</si>
  <si>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</si>
  <si>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</si>
  <si>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</si>
  <si>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</si>
  <si>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</si>
  <si>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</si>
  <si>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</si>
  <si>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</si>
  <si>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</si>
  <si>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</si>
  <si>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</si>
  <si>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</si>
  <si>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</si>
  <si>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</si>
  <si>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</si>
  <si>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</si>
  <si>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</si>
  <si>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</si>
  <si>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</si>
  <si>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</si>
  <si>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</si>
  <si>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</si>
  <si>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</si>
  <si>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</si>
  <si>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</si>
  <si>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</si>
  <si>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</si>
  <si>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</si>
  <si>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</si>
  <si>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</si>
  <si>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</si>
  <si>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</si>
  <si>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</si>
  <si>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</si>
  <si>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</si>
  <si>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</si>
  <si>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</si>
  <si>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</si>
  <si>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</si>
  <si>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</si>
  <si>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</si>
  <si>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</si>
  <si>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</si>
  <si>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</si>
  <si>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</si>
  <si>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</si>
  <si>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</si>
  <si>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</si>
  <si>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</si>
  <si>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</si>
  <si>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</si>
  <si>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</si>
  <si>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</si>
  <si>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</si>
  <si>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</si>
  <si>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</si>
  <si>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</si>
  <si>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</si>
  <si>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</si>
  <si>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</si>
  <si>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</si>
  <si>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</si>
  <si>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</si>
  <si>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</si>
  <si>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</si>
  <si>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</si>
  <si>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</si>
  <si>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</si>
  <si>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</si>
  <si>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</si>
  <si>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</si>
  <si>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</si>
  <si>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</si>
  <si>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</si>
  <si>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</si>
  <si>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</si>
  <si>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</si>
  <si>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</si>
  <si>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</si>
  <si>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</si>
  <si>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</si>
  <si>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</si>
  <si>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</si>
  <si>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</si>
  <si>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</si>
  <si>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</si>
  <si>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</si>
  <si>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</si>
  <si>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</si>
  <si>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</si>
  <si>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</si>
  <si>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</si>
  <si>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</si>
  <si>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</si>
  <si>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</si>
  <si>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</si>
  <si>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</si>
  <si>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</si>
  <si>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</si>
  <si>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</si>
  <si>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</si>
  <si>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</si>
  <si>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</si>
  <si>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</si>
  <si>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</si>
  <si>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</si>
  <si>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</si>
  <si>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</si>
  <si>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</si>
  <si>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</si>
  <si>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</si>
  <si>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</si>
  <si>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</si>
  <si>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</si>
  <si>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</si>
  <si>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</si>
  <si>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</si>
  <si>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</si>
  <si>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</si>
  <si>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</si>
  <si>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</si>
  <si>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</si>
  <si>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</si>
  <si>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</si>
  <si>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</si>
  <si>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</si>
  <si>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</si>
  <si>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</si>
  <si>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</si>
  <si>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</si>
  <si>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</si>
  <si>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</si>
  <si>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</si>
  <si>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</si>
  <si>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</si>
  <si>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</si>
  <si>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</si>
  <si>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</si>
  <si>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</si>
  <si>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</si>
  <si>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</si>
  <si>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</si>
  <si>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</si>
  <si>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</si>
  <si>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</si>
  <si>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</si>
  <si>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</si>
  <si>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</si>
  <si>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</si>
  <si>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</si>
  <si>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</si>
  <si>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</si>
  <si>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</si>
  <si>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</si>
  <si>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</si>
  <si>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</si>
  <si>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</si>
  <si>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</si>
  <si>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</si>
  <si>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</si>
  <si>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</si>
  <si>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</si>
  <si>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</si>
  <si>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</si>
  <si>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</si>
  <si>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</si>
  <si>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</si>
  <si>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</si>
  <si>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</si>
  <si>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</si>
  <si>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</si>
  <si>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</si>
  <si>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</si>
  <si>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</si>
  <si>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</si>
  <si>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</si>
  <si>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</si>
  <si>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</si>
  <si>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</si>
  <si>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</si>
  <si>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</si>
  <si>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</si>
  <si>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</si>
  <si>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</si>
  <si>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</si>
  <si>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</si>
  <si>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</si>
  <si>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</si>
  <si>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</si>
  <si>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</si>
  <si>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</si>
  <si>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</si>
  <si>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</si>
  <si>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</si>
  <si>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</si>
  <si>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</si>
  <si>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</si>
  <si>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</si>
  <si>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</si>
  <si>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</si>
  <si>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</si>
  <si>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</si>
  <si>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</si>
  <si>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</si>
  <si>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</si>
  <si>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</si>
  <si>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</si>
  <si>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</si>
  <si>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</si>
  <si>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</si>
  <si>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</si>
  <si>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</si>
  <si>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</si>
  <si>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</si>
  <si>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</si>
  <si>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</si>
  <si>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</si>
  <si>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</si>
  <si>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</si>
  <si>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</si>
  <si>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</si>
  <si>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</si>
  <si>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</si>
  <si>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</si>
  <si>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</si>
  <si>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</si>
  <si>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</si>
  <si>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</si>
  <si>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</si>
  <si>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</si>
  <si>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</si>
  <si>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</si>
  <si>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</si>
  <si>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</si>
  <si>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</si>
  <si>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</si>
  <si>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</si>
  <si>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</si>
  <si>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</si>
  <si>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</si>
  <si>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</si>
  <si>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</si>
  <si>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</si>
  <si>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</si>
  <si>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</si>
  <si>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</si>
  <si>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</si>
  <si>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</si>
  <si>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</si>
  <si>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</si>
  <si>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</si>
  <si>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</si>
  <si>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</si>
  <si>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</si>
  <si>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</si>
  <si>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</si>
  <si>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</si>
  <si>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</si>
  <si>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</si>
  <si>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</si>
  <si>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</si>
  <si>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</si>
  <si>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</si>
  <si>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</si>
  <si>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</si>
  <si>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</si>
  <si>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</si>
  <si>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</si>
  <si>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</si>
  <si>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</si>
  <si>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</si>
  <si>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</si>
  <si>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</si>
  <si>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</si>
  <si>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</si>
  <si>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</si>
  <si>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</si>
  <si>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</si>
  <si>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</si>
  <si>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</si>
  <si>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</si>
  <si>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</si>
  <si>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</si>
  <si>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</si>
  <si>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</si>
  <si>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</si>
  <si>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</si>
  <si>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</si>
  <si>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</si>
  <si>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</si>
  <si>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</si>
  <si>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</si>
  <si>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</si>
  <si>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</si>
  <si>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</si>
  <si>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</si>
  <si>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</si>
  <si>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</si>
  <si>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</si>
  <si>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</si>
  <si>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</si>
  <si>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</si>
  <si>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</si>
  <si>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</si>
  <si>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</si>
  <si>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</si>
  <si>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</si>
  <si>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</si>
  <si>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</si>
  <si>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</si>
  <si>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</si>
  <si>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</si>
  <si>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</si>
  <si>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</si>
  <si>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</si>
  <si>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</si>
  <si>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</si>
  <si>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</si>
  <si>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</si>
  <si>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</si>
  <si>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</si>
  <si>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</si>
  <si>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</si>
  <si>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</si>
  <si>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</si>
  <si>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</si>
  <si>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</si>
  <si>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</si>
  <si>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</si>
  <si>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</si>
  <si>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</si>
  <si>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</si>
  <si>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</si>
  <si>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</si>
  <si>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</si>
  <si>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</si>
  <si>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</si>
  <si>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</si>
  <si>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</si>
  <si>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</si>
  <si>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</si>
  <si>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</si>
  <si>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</si>
  <si>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</si>
  <si>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</si>
  <si>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</si>
  <si>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</si>
  <si>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</si>
  <si>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</si>
  <si>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</si>
  <si>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</si>
  <si>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</si>
  <si>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</si>
  <si>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</si>
  <si>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</si>
  <si>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</si>
  <si>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</si>
  <si>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</si>
  <si>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</si>
  <si>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</si>
  <si>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</si>
  <si>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</si>
  <si>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</si>
  <si>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</si>
  <si>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</si>
  <si>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</si>
  <si>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</si>
  <si>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</si>
  <si>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</si>
  <si>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</si>
  <si>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</si>
  <si>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</si>
  <si>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</si>
  <si>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</si>
  <si>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</si>
  <si>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</si>
  <si>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</si>
  <si>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</si>
  <si>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</si>
  <si>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</si>
  <si>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</si>
  <si>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</si>
  <si>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</si>
  <si>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</si>
  <si>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</si>
  <si>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</si>
  <si>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</si>
  <si>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</si>
  <si>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</si>
  <si>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</si>
  <si>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</si>
  <si>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</si>
  <si>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</si>
  <si>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</si>
  <si>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</si>
  <si>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</si>
  <si>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</si>
  <si>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</si>
  <si>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</si>
  <si>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</si>
  <si>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</si>
  <si>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</si>
  <si>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</si>
  <si>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</si>
  <si>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</si>
  <si>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</si>
  <si>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</si>
  <si>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</si>
  <si>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</si>
  <si>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</si>
  <si>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</si>
  <si>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</si>
  <si>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</si>
  <si>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</si>
  <si>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</si>
  <si>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</si>
  <si>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</si>
  <si>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</si>
  <si>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</si>
  <si>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</si>
  <si>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</si>
  <si>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</si>
  <si>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</si>
  <si>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</si>
  <si>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</si>
  <si>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</si>
  <si>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</si>
  <si>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</si>
  <si>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</si>
  <si>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</si>
  <si>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</si>
  <si>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</si>
  <si>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</si>
  <si>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</si>
  <si>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</si>
  <si>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</si>
  <si>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</si>
  <si>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</si>
  <si>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</si>
  <si>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</si>
  <si>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</si>
  <si>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</si>
  <si>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</si>
  <si>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</si>
  <si>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</si>
  <si>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</si>
  <si>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</si>
  <si>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</si>
  <si>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</si>
  <si>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</si>
  <si>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</si>
  <si>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</si>
  <si>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</si>
  <si>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</si>
  <si>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</si>
  <si>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</si>
  <si>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</si>
  <si>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</si>
  <si>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</si>
  <si>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</si>
  <si>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</si>
  <si>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</si>
  <si>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</si>
  <si>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</si>
  <si>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</si>
  <si>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</si>
  <si>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</si>
  <si>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</si>
  <si>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</si>
  <si>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</si>
  <si>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</si>
  <si>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</si>
  <si>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</si>
  <si>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</si>
  <si>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</si>
  <si>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</si>
  <si>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</si>
  <si>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</si>
  <si>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</si>
  <si>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</si>
  <si>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</si>
  <si>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</si>
  <si>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</si>
  <si>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</si>
  <si>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</si>
  <si>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</si>
  <si>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</si>
  <si>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</si>
  <si>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</si>
  <si>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</si>
  <si>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</si>
  <si>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</si>
  <si>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</si>
  <si>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</si>
  <si>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</si>
  <si>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</si>
  <si>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</si>
  <si>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</si>
  <si>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</si>
  <si>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</si>
  <si>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</si>
  <si>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</si>
  <si>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</si>
  <si>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</si>
  <si>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</si>
  <si>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</si>
  <si>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</si>
  <si>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</si>
  <si>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</si>
  <si>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</si>
  <si>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</si>
  <si>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</si>
  <si>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</si>
  <si>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</si>
  <si>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</si>
  <si>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</si>
  <si>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</si>
  <si>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</si>
  <si>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</si>
  <si>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</si>
  <si>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</si>
  <si>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</si>
  <si>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</si>
  <si>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</si>
  <si>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</si>
  <si>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</si>
  <si>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</si>
  <si>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</si>
  <si>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</si>
  <si>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</si>
  <si>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</si>
  <si>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</si>
  <si>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</si>
  <si>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</si>
  <si>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</si>
  <si>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</si>
  <si>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</si>
  <si>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</si>
  <si>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</si>
  <si>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</si>
  <si>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</si>
  <si>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</si>
  <si>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</si>
  <si>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</si>
  <si>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</si>
  <si>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</si>
  <si>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</si>
  <si>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</si>
  <si>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</si>
  <si>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</si>
  <si>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</si>
  <si>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</si>
  <si>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</si>
  <si>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</si>
  <si>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</si>
  <si>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</si>
  <si>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</si>
  <si>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</si>
  <si>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</si>
  <si>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</si>
  <si>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</si>
  <si>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</si>
  <si>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</si>
  <si>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</si>
  <si>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</si>
  <si>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</si>
  <si>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</si>
  <si>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</si>
  <si>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</si>
  <si>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</si>
  <si>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</si>
  <si>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</si>
  <si>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</si>
  <si>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</si>
  <si>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</si>
  <si>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</si>
  <si>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</si>
  <si>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</si>
  <si>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</si>
  <si>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</si>
  <si>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</si>
  <si>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</si>
  <si>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</si>
  <si>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</si>
  <si>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</si>
  <si>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</si>
  <si>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</si>
  <si>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</si>
  <si>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</si>
  <si>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</si>
  <si>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</si>
  <si>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</si>
  <si>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</si>
  <si>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</si>
  <si>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</si>
  <si>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</si>
  <si>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</si>
  <si>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</si>
  <si>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</si>
  <si>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</si>
  <si>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</si>
  <si>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</si>
  <si>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</si>
  <si>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</si>
  <si>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</si>
  <si>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</si>
  <si>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</si>
  <si>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</si>
  <si>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</si>
  <si>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</si>
  <si>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</si>
  <si>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</si>
  <si>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</si>
  <si>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</si>
  <si>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</si>
  <si>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</si>
  <si>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</si>
  <si>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</si>
  <si>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</si>
  <si>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</si>
  <si>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</si>
  <si>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</si>
  <si>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</si>
  <si>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</si>
  <si>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</si>
  <si>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</si>
  <si>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</si>
  <si>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</si>
  <si>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</si>
  <si>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</si>
  <si>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</si>
  <si>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</si>
  <si>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</si>
  <si>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</si>
  <si>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</si>
  <si>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</si>
  <si>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</si>
  <si>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</si>
  <si>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</si>
  <si>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</si>
  <si>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</si>
  <si>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</si>
  <si>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</si>
  <si>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</si>
  <si>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</si>
  <si>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</si>
  <si>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</si>
  <si>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</si>
  <si>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</si>
  <si>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</si>
  <si>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</si>
  <si>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</si>
  <si>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</si>
  <si>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</si>
  <si>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</si>
  <si>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</si>
  <si>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</si>
  <si>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</si>
  <si>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</si>
  <si>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</si>
  <si>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</si>
  <si>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</si>
  <si>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</si>
  <si>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</si>
  <si>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</si>
  <si>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</si>
  <si>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</si>
  <si>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</si>
  <si>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</si>
  <si>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</si>
  <si>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</si>
  <si>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</si>
  <si>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</si>
  <si>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</si>
  <si>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</si>
  <si>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</si>
  <si>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</si>
  <si>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</si>
  <si>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</si>
  <si>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</si>
  <si>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</si>
  <si>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</si>
  <si>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</si>
  <si>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</si>
  <si>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</si>
  <si>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</si>
  <si>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</si>
  <si>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</si>
  <si>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</si>
  <si>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</si>
  <si>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</si>
  <si>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</si>
  <si>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</si>
  <si>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</si>
  <si>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</si>
  <si>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</si>
  <si>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</si>
  <si>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</si>
  <si>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</si>
  <si>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</si>
  <si>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</si>
  <si>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</si>
  <si>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</si>
  <si>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</si>
  <si>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</si>
  <si>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</si>
  <si>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</si>
  <si>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</si>
  <si>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</si>
  <si>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</si>
  <si>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</si>
  <si>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</si>
  <si>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</si>
  <si>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</si>
  <si>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</si>
  <si>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</si>
  <si>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</si>
  <si>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</si>
  <si>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</si>
  <si>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</si>
  <si>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</si>
  <si>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</si>
  <si>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</si>
  <si>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</si>
  <si>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</si>
  <si>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</si>
  <si>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</si>
  <si>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</si>
  <si>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</si>
  <si>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</si>
  <si>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</si>
  <si>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</si>
  <si>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</si>
  <si>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</si>
  <si>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</si>
  <si>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</si>
  <si>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</si>
  <si>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</si>
  <si>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</si>
  <si>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</si>
  <si>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</si>
  <si>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</si>
  <si>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</si>
  <si>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</si>
  <si>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</si>
  <si>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</si>
  <si>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</si>
  <si>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</si>
  <si>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</si>
  <si>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</si>
  <si>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</si>
  <si>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</si>
  <si>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</si>
  <si>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</si>
  <si>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</si>
  <si>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</si>
  <si>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</si>
  <si>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</si>
  <si>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</si>
  <si>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</si>
  <si>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</si>
  <si>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</si>
  <si>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</si>
  <si>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</si>
  <si>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</si>
  <si>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</si>
  <si>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</si>
  <si>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</si>
  <si>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</si>
  <si>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</si>
  <si>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</si>
  <si>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</si>
  <si>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</si>
  <si>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</si>
  <si>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</si>
  <si>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</si>
  <si>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</si>
  <si>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</si>
  <si>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</si>
  <si>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</si>
  <si>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</si>
  <si>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</si>
  <si>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</si>
  <si>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</si>
  <si>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</si>
  <si>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</si>
  <si>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</si>
  <si>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</si>
  <si>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</si>
  <si>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</si>
  <si>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</si>
  <si>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</si>
  <si>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</si>
  <si>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</si>
  <si>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</si>
  <si>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</si>
  <si>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</si>
  <si>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</si>
  <si>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</si>
  <si>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</si>
  <si>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</si>
  <si>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</si>
  <si>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</si>
  <si>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</si>
  <si>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</si>
  <si>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</si>
  <si>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</si>
  <si>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</si>
  <si>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</si>
  <si>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</si>
  <si>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</si>
  <si>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</si>
  <si>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</si>
  <si>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</si>
  <si>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</si>
  <si>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</si>
  <si>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</si>
  <si>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</si>
  <si>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</si>
  <si>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</si>
  <si>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</si>
  <si>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</si>
  <si>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</si>
  <si>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</si>
  <si>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</si>
  <si>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</si>
  <si>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</si>
  <si>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</si>
  <si>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</si>
  <si>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</si>
  <si>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</si>
  <si>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</si>
  <si>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</si>
  <si>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</si>
  <si>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</si>
  <si>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</si>
  <si>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</si>
  <si>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</si>
  <si>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</si>
  <si>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</si>
  <si>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</si>
  <si>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</si>
  <si>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</si>
  <si>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</si>
  <si>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</si>
  <si>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</si>
  <si>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</si>
  <si>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</si>
  <si>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</si>
  <si>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</si>
  <si>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</si>
  <si>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</si>
  <si>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</si>
  <si>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</si>
  <si>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</si>
  <si>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</si>
  <si>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</si>
  <si>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</si>
  <si>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</si>
  <si>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</si>
  <si>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</si>
  <si>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</si>
  <si>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</si>
  <si>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</si>
  <si>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</si>
  <si>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</si>
  <si>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</si>
  <si>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</si>
  <si>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</si>
  <si>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</si>
  <si>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</si>
  <si>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</si>
  <si>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</si>
  <si>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</si>
  <si>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</si>
  <si>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</si>
  <si>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</si>
  <si>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</si>
  <si>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</si>
  <si>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</si>
  <si>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</si>
  <si>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</si>
  <si>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</si>
  <si>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</si>
  <si>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</si>
  <si>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</si>
  <si>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</si>
  <si>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</si>
  <si>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</si>
  <si>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</si>
  <si>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</si>
  <si>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</si>
  <si>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</si>
  <si>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</si>
  <si>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</si>
  <si>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</si>
  <si>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</si>
  <si>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</si>
  <si>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</si>
  <si>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</si>
  <si>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</si>
  <si>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</si>
  <si>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</si>
  <si>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</si>
  <si>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</si>
  <si>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</si>
  <si>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</si>
  <si>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</si>
  <si>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</si>
  <si>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</si>
  <si>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</si>
  <si>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</si>
  <si>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</si>
  <si>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</si>
  <si>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</si>
  <si>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</si>
  <si>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</si>
  <si>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</si>
  <si>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</si>
  <si>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</si>
  <si>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</si>
  <si>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</si>
  <si>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</si>
  <si>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</si>
  <si>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</si>
  <si>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</si>
  <si>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</si>
  <si>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</si>
  <si>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</si>
  <si>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</si>
  <si>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</si>
  <si>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</si>
  <si>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</si>
  <si>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</si>
  <si>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</si>
  <si>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</si>
  <si>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</si>
  <si>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</si>
  <si>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</si>
  <si>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</si>
  <si>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</si>
  <si>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</si>
  <si>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</si>
  <si>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</si>
  <si>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</si>
  <si>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</si>
  <si>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</si>
  <si>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</si>
  <si>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</si>
  <si>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</si>
  <si>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</si>
  <si>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</si>
  <si>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</si>
  <si>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</si>
  <si>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</si>
  <si>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</si>
  <si>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</si>
  <si>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</si>
  <si>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</si>
  <si>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</si>
  <si>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</si>
  <si>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</si>
  <si>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</si>
  <si>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</si>
  <si>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</si>
  <si>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</si>
  <si>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</si>
  <si>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</si>
  <si>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</si>
  <si>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</si>
  <si>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</si>
  <si>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</si>
  <si>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</si>
  <si>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</si>
  <si>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</si>
  <si>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</si>
  <si>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</si>
  <si>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</si>
  <si>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</si>
  <si>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</si>
  <si>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</si>
  <si>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</si>
  <si>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</si>
  <si>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</si>
  <si>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</si>
  <si>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</si>
  <si>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</si>
  <si>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</si>
  <si>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</si>
  <si>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</si>
  <si>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</si>
  <si>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</si>
  <si>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</si>
  <si>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</si>
  <si>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</si>
  <si>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</si>
  <si>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</si>
  <si>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</si>
  <si>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</si>
  <si>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</si>
  <si>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</si>
  <si>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</si>
  <si>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</si>
  <si>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</si>
  <si>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</si>
  <si>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</si>
  <si>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</si>
  <si>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</si>
  <si>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</si>
  <si>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</si>
  <si>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</si>
  <si>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</si>
  <si>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</si>
  <si>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</si>
  <si>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</si>
  <si>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</si>
  <si>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</si>
  <si>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</si>
  <si>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</si>
  <si>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</si>
  <si>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</si>
  <si>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</si>
  <si>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</si>
  <si>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</si>
  <si>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</si>
  <si>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</si>
  <si>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</si>
  <si>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</si>
  <si>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</si>
  <si>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</si>
  <si>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</si>
  <si>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</si>
  <si>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</si>
  <si>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</si>
  <si>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</si>
  <si>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</si>
  <si>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</si>
  <si>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</si>
  <si>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</si>
  <si>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</si>
  <si>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</si>
  <si>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</si>
  <si>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</si>
  <si>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</si>
  <si>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</si>
  <si>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</si>
  <si>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</si>
  <si>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</si>
  <si>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</si>
  <si>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</si>
  <si>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</si>
  <si>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</si>
  <si>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</si>
  <si>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</si>
  <si>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</si>
  <si>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</si>
  <si>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</si>
  <si>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</si>
  <si>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</si>
  <si>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</si>
  <si>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</si>
  <si>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</si>
  <si>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</si>
  <si>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</si>
  <si>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</si>
  <si>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</si>
  <si>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</si>
  <si>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</si>
  <si>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</si>
  <si>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</si>
  <si>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</si>
  <si>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</si>
  <si>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</si>
  <si>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</si>
  <si>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</si>
  <si>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</si>
  <si>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</si>
  <si>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</si>
  <si>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</si>
  <si>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</si>
  <si>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</si>
  <si>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</si>
  <si>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</si>
  <si>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</si>
  <si>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</si>
  <si>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</si>
  <si>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</si>
  <si>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</si>
  <si>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</si>
  <si>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</si>
  <si>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</si>
  <si>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</si>
  <si>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</si>
  <si>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</si>
  <si>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</si>
  <si>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</si>
  <si>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</si>
  <si>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</si>
  <si>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</si>
  <si>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</si>
  <si>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</si>
  <si>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</si>
  <si>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</si>
  <si>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</si>
  <si>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</si>
  <si>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</si>
  <si>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</si>
  <si>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</si>
  <si>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</si>
  <si>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</si>
  <si>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</si>
  <si>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</si>
  <si>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</si>
  <si>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</si>
  <si>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</si>
  <si>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</si>
  <si>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</si>
  <si>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</si>
  <si>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</si>
  <si>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</si>
  <si>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</si>
  <si>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</si>
  <si>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</si>
  <si>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</si>
  <si>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</si>
  <si>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</si>
  <si>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</si>
  <si>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</si>
  <si>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</si>
  <si>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</si>
  <si>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</si>
  <si>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</si>
  <si>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</si>
  <si>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</si>
  <si>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</si>
  <si>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</si>
  <si>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</si>
  <si>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</si>
  <si>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</si>
  <si>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</si>
  <si>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</si>
  <si>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</si>
  <si>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</si>
  <si>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</si>
  <si>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</si>
  <si>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</si>
  <si>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</si>
  <si>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</si>
  <si>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</si>
  <si>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</si>
  <si>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</si>
  <si>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</si>
  <si>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</si>
  <si>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</si>
  <si>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</si>
  <si>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</si>
  <si>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</si>
  <si>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</si>
  <si>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</si>
  <si>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</si>
  <si>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</si>
  <si>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</si>
  <si>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</si>
  <si>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</si>
  <si>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</si>
  <si>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</si>
  <si>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</si>
  <si>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</si>
  <si>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</si>
  <si>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</si>
  <si>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</si>
  <si>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</si>
  <si>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</si>
  <si>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</si>
  <si>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</si>
  <si>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</si>
  <si>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</si>
  <si>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</si>
  <si>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</si>
  <si>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</si>
  <si>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</si>
  <si>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</si>
  <si>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</si>
  <si>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</si>
  <si>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</si>
  <si>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</si>
  <si>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</si>
  <si>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</si>
  <si>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</si>
  <si>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</si>
  <si>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</si>
  <si>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</si>
  <si>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</si>
  <si>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</si>
  <si>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</si>
  <si>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</si>
  <si>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</si>
  <si>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</si>
  <si>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</si>
  <si>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</si>
  <si>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</si>
  <si>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</si>
  <si>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</si>
  <si>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</si>
  <si>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</si>
  <si>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</si>
  <si>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</si>
  <si>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</si>
  <si>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</si>
  <si>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</si>
  <si>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</si>
  <si>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</si>
  <si>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</si>
  <si>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</si>
  <si>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</si>
  <si>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</si>
  <si>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</si>
  <si>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</si>
  <si>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</si>
  <si>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</si>
  <si>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</si>
  <si>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</si>
  <si>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</si>
  <si>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</si>
  <si>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</si>
  <si>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</si>
  <si>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</si>
  <si>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</si>
  <si>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</si>
  <si>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</si>
  <si>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</si>
  <si>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</si>
  <si>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</si>
  <si>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</si>
  <si>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</si>
  <si>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</si>
  <si>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</si>
  <si>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</si>
  <si>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</si>
  <si>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</si>
  <si>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</si>
  <si>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</si>
  <si>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</si>
  <si>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</si>
  <si>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</si>
  <si>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</si>
  <si>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</si>
  <si>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</si>
  <si>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</si>
  <si>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</si>
  <si>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</si>
  <si>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</si>
  <si>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</si>
  <si>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</si>
  <si>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</si>
  <si>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</si>
  <si>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</si>
  <si>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</si>
  <si>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</si>
  <si>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</si>
  <si>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</si>
  <si>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</si>
  <si>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</si>
  <si>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</si>
  <si>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</si>
  <si>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</si>
  <si>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</si>
  <si>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</si>
  <si>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</si>
  <si>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</si>
  <si>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</si>
  <si>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</si>
  <si>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</si>
  <si>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</si>
  <si>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</si>
  <si>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</si>
  <si>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</si>
  <si>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</si>
  <si>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</si>
  <si>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</si>
  <si>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</si>
  <si>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</si>
  <si>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</si>
  <si>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</si>
  <si>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</si>
  <si>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</si>
  <si>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</si>
  <si>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</si>
  <si>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</si>
  <si>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</si>
  <si>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</si>
  <si>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</si>
  <si>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</si>
  <si>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</si>
  <si>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</si>
  <si>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</si>
  <si>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</si>
  <si>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</si>
  <si>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</si>
  <si>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</si>
  <si>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</si>
  <si>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</si>
  <si>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</si>
  <si>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</si>
  <si>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</si>
  <si>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</si>
  <si>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</si>
  <si>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</si>
  <si>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</si>
  <si>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</si>
  <si>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</si>
  <si>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</si>
  <si>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</si>
  <si>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</si>
  <si>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</si>
  <si>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</si>
  <si>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</si>
  <si>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</si>
  <si>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</si>
  <si>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</si>
  <si>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</si>
  <si>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</si>
  <si>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</si>
  <si>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</si>
  <si>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</si>
  <si>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</si>
  <si>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</si>
  <si>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</si>
  <si>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</si>
  <si>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</si>
  <si>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</si>
  <si>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</si>
  <si>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</si>
  <si>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</si>
  <si>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</si>
  <si>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</si>
  <si>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</si>
  <si>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</si>
  <si>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</si>
  <si>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</si>
  <si>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</si>
  <si>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</si>
  <si>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</si>
  <si>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</si>
  <si>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</si>
  <si>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</si>
  <si>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</si>
  <si>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</si>
  <si>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</si>
  <si>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</si>
  <si>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</si>
  <si>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</si>
  <si>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</si>
  <si>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</si>
  <si>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</si>
  <si>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</si>
  <si>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</si>
  <si>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</si>
  <si>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</si>
  <si>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</si>
  <si>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</si>
  <si>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</si>
  <si>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</si>
  <si>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</si>
  <si>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</si>
  <si>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</si>
  <si>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</si>
  <si>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</si>
  <si>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</si>
  <si>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</si>
  <si>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</si>
  <si>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</si>
  <si>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</si>
  <si>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</si>
  <si>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</si>
  <si>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</si>
  <si>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</si>
  <si>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</si>
  <si>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</si>
  <si>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</si>
  <si>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</si>
  <si>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</si>
  <si>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</si>
  <si>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</si>
  <si>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</si>
  <si>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</si>
  <si>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</si>
  <si>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</si>
  <si>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</si>
  <si>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</si>
  <si>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</si>
  <si>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</si>
  <si>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</si>
  <si>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</si>
  <si>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</si>
  <si>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</si>
  <si>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</si>
  <si>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</si>
  <si>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</si>
  <si>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</si>
  <si>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</si>
  <si>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</si>
  <si>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</si>
  <si>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</si>
  <si>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</si>
  <si>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</si>
  <si>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</si>
  <si>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</si>
  <si>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</si>
  <si>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</si>
  <si>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</si>
  <si>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</si>
  <si>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</si>
  <si>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</si>
  <si>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</si>
  <si>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</si>
  <si>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</si>
  <si>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</si>
  <si>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</si>
  <si>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</si>
  <si>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</si>
  <si>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</si>
  <si>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</si>
  <si>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</si>
  <si>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</si>
  <si>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</si>
  <si>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</si>
  <si>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</si>
  <si>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</si>
  <si>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</si>
  <si>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</si>
  <si>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</si>
  <si>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</si>
  <si>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</si>
  <si>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</si>
  <si>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</si>
  <si>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</si>
  <si>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</si>
  <si>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</si>
  <si>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</si>
  <si>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</si>
  <si>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</si>
  <si>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</si>
  <si>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</si>
  <si>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</si>
  <si>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</si>
  <si>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</si>
  <si>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</si>
  <si>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</si>
  <si>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</si>
  <si>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</si>
  <si>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</si>
  <si>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</si>
  <si>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</si>
  <si>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</si>
  <si>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</si>
  <si>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</si>
  <si>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</si>
  <si>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</si>
  <si>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</si>
  <si>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</si>
  <si>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</si>
  <si>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</si>
  <si>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</si>
  <si>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</si>
  <si>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</si>
  <si>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</si>
  <si>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</si>
  <si>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</si>
  <si>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</si>
  <si>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</si>
  <si>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</si>
  <si>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</si>
  <si>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</si>
  <si>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</si>
  <si>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</si>
  <si>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</si>
  <si>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</si>
  <si>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</si>
  <si>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</si>
  <si>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</si>
  <si>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</si>
  <si>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</si>
  <si>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</si>
  <si>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</si>
  <si>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</si>
  <si>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</si>
  <si>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</si>
  <si>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</si>
  <si>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</si>
  <si>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</si>
  <si>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</si>
  <si>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</si>
  <si>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</si>
  <si>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</si>
  <si>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</si>
  <si>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</si>
  <si>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</si>
  <si>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</si>
  <si>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</si>
  <si>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</si>
  <si>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</si>
  <si>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</si>
  <si>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</si>
  <si>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</si>
  <si>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</si>
  <si>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</si>
  <si>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</si>
  <si>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</si>
  <si>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</si>
  <si>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</si>
  <si>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</si>
  <si>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</si>
  <si>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</si>
  <si>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</si>
  <si>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</si>
  <si>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</si>
  <si>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</si>
  <si>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</si>
  <si>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</si>
  <si>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</si>
  <si>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</si>
  <si>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</si>
  <si>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</si>
  <si>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</si>
  <si>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</si>
  <si>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</si>
  <si>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</si>
  <si>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</si>
  <si>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</si>
  <si>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</si>
  <si>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</si>
  <si>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</si>
  <si>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</si>
  <si>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</si>
  <si>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</si>
  <si>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</si>
  <si>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</si>
  <si>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</si>
  <si>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</si>
  <si>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</si>
  <si>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</si>
  <si>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</si>
  <si>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</si>
  <si>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</si>
  <si>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</si>
  <si>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</si>
  <si>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</si>
  <si>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</si>
  <si>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</si>
  <si>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</si>
  <si>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</si>
  <si>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</si>
  <si>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</si>
  <si>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</si>
  <si>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</si>
  <si>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</si>
  <si>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</si>
  <si>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</si>
  <si>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</si>
  <si>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</si>
  <si>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</si>
  <si>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</si>
  <si>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</si>
  <si>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</si>
  <si>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</si>
  <si>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</si>
  <si>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</si>
  <si>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</si>
  <si>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</si>
  <si>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</si>
  <si>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</si>
  <si>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</si>
  <si>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</si>
  <si>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</si>
  <si>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</si>
  <si>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</si>
  <si>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</si>
  <si>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</si>
  <si>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</si>
  <si>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</si>
  <si>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</si>
  <si>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</si>
  <si>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</si>
  <si>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</si>
  <si>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</si>
  <si>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</si>
  <si>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</si>
  <si>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</si>
  <si>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</si>
  <si>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</si>
  <si>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</si>
  <si>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</si>
  <si>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</si>
  <si>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</si>
  <si>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</si>
  <si>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</si>
  <si>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</si>
  <si>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</si>
  <si>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</si>
  <si>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</si>
  <si>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</si>
  <si>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</si>
  <si>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</si>
  <si>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</si>
  <si>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</si>
  <si>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</si>
  <si>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</si>
  <si>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</si>
  <si>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</si>
  <si>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</si>
  <si>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</si>
  <si>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</si>
  <si>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</si>
  <si>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</si>
  <si>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</si>
  <si>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</si>
  <si>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</si>
  <si>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</si>
  <si>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</si>
  <si>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</si>
  <si>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</si>
  <si>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</si>
  <si>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</si>
  <si>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</si>
  <si>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</si>
  <si>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</si>
  <si>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</si>
  <si>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</si>
  <si>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</si>
  <si>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</si>
  <si>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</si>
  <si>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</si>
  <si>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</si>
  <si>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</si>
  <si>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</si>
  <si>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</si>
  <si>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</si>
  <si>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</si>
  <si>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</si>
  <si>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</si>
  <si>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</si>
  <si>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</si>
  <si>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</si>
  <si>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</si>
  <si>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</si>
  <si>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</si>
  <si>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</si>
  <si>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</si>
  <si>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</si>
  <si>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</si>
  <si>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</si>
  <si>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</si>
  <si>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</si>
  <si>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</si>
  <si>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</si>
  <si>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</si>
  <si>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</si>
  <si>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</si>
  <si>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</si>
  <si>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</si>
  <si>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</si>
  <si>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</si>
  <si>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</si>
  <si>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</si>
  <si>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</si>
  <si>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</si>
  <si>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</si>
  <si>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</si>
  <si>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</si>
  <si>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</si>
  <si>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</si>
  <si>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</si>
  <si>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</si>
  <si>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</si>
  <si>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</si>
  <si>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</si>
  <si>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</si>
  <si>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</si>
  <si>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</si>
  <si>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</si>
  <si>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</si>
  <si>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</si>
  <si>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</si>
  <si>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</si>
  <si>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</si>
  <si>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</si>
  <si>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</si>
  <si>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</si>
  <si>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</si>
  <si>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</si>
  <si>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</si>
  <si>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</si>
  <si>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</si>
  <si>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</si>
  <si>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</si>
  <si>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</si>
  <si>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</si>
  <si>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</si>
  <si>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</si>
  <si>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</si>
  <si>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</si>
  <si>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</si>
  <si>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</si>
  <si>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</si>
  <si>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</si>
  <si>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</si>
  <si>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</si>
  <si>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</si>
  <si>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</si>
  <si>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</si>
  <si>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</si>
  <si>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</si>
  <si>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</si>
  <si>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</si>
  <si>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</si>
  <si>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</si>
  <si>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</si>
  <si>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</si>
  <si>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</si>
  <si>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</si>
  <si>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</si>
  <si>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</si>
  <si>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</si>
  <si>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</si>
  <si>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</si>
  <si>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</si>
  <si>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</si>
  <si>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</si>
  <si>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</si>
  <si>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</si>
  <si>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</si>
  <si>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</si>
  <si>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</si>
  <si>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</si>
  <si>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</si>
  <si>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</si>
  <si>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</si>
  <si>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</si>
  <si>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</si>
  <si>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</si>
  <si>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</si>
  <si>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</si>
  <si>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</si>
  <si>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</si>
  <si>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</si>
  <si>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</si>
  <si>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</si>
  <si>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</si>
  <si>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</si>
  <si>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</si>
  <si>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</si>
  <si>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</si>
  <si>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</si>
  <si>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</si>
  <si>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</si>
  <si>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</si>
  <si>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</si>
  <si>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</si>
  <si>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</si>
  <si>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</si>
  <si>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</si>
  <si>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</si>
  <si>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</si>
  <si>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</si>
  <si>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</si>
  <si>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</si>
  <si>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</si>
  <si>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</si>
  <si>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</si>
  <si>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</si>
  <si>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</si>
  <si>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</si>
  <si>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</si>
  <si>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</si>
  <si>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</si>
  <si>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</si>
  <si>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</si>
  <si>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</si>
  <si>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</si>
  <si>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</si>
  <si>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</si>
  <si>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</si>
  <si>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</si>
  <si>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</si>
  <si>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</si>
  <si>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</si>
  <si>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</si>
  <si>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</si>
  <si>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</si>
  <si>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</si>
  <si>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</si>
  <si>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</si>
  <si>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</si>
  <si>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</si>
  <si>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</si>
  <si>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</si>
  <si>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</si>
  <si>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</si>
  <si>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</si>
  <si>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</si>
  <si>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</si>
  <si>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</si>
  <si>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</si>
  <si>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</si>
  <si>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</si>
  <si>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</si>
  <si>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</si>
  <si>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</si>
  <si>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</si>
  <si>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</si>
  <si>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</si>
  <si>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</si>
  <si>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</si>
  <si>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</si>
  <si>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</si>
  <si>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</si>
  <si>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</si>
  <si>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</si>
  <si>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</si>
  <si>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</si>
  <si>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</si>
  <si>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</si>
  <si>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</si>
  <si>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</si>
  <si>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</si>
  <si>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</si>
  <si>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</si>
  <si>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</si>
  <si>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</si>
  <si>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</si>
  <si>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</si>
  <si>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</si>
  <si>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</si>
  <si>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</si>
  <si>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</si>
  <si>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</si>
  <si>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</si>
  <si>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</si>
  <si>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</si>
  <si>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</si>
  <si>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</si>
  <si>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</si>
  <si>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</si>
  <si>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</si>
  <si>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</si>
  <si>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</si>
  <si>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</si>
  <si>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</si>
  <si>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</si>
  <si>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</si>
  <si>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</si>
  <si>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</si>
  <si>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</si>
  <si>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</si>
  <si>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</si>
  <si>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</si>
  <si>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</si>
  <si>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</si>
  <si>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</si>
  <si>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</si>
  <si>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</si>
  <si>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</si>
  <si>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</si>
  <si>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</si>
  <si>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</si>
  <si>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</si>
  <si>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</si>
  <si>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</si>
  <si>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</si>
  <si>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</si>
  <si>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</si>
  <si>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</si>
  <si>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</si>
  <si>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</si>
  <si>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</si>
  <si>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</si>
  <si>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</si>
  <si>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</si>
  <si>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</si>
  <si>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</si>
  <si>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</si>
  <si>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</si>
  <si>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</si>
  <si>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</si>
  <si>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</si>
  <si>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</si>
  <si>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</si>
  <si>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</si>
  <si>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</si>
  <si>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</si>
  <si>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</si>
  <si>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</si>
  <si>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</si>
  <si>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</si>
  <si>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</si>
  <si>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</si>
  <si>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</si>
  <si>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</si>
  <si>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</si>
  <si>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</si>
  <si>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</si>
  <si>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</si>
  <si>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</si>
  <si>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</si>
  <si>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</si>
  <si>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</si>
  <si>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</si>
  <si>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</si>
  <si>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</si>
  <si>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</si>
  <si>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</si>
  <si>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</si>
  <si>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</si>
  <si>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</si>
  <si>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</si>
  <si>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</si>
  <si>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</si>
  <si>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</si>
  <si>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</si>
  <si>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</si>
  <si>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</si>
  <si>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</si>
  <si>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</si>
  <si>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</si>
  <si>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</si>
  <si>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</si>
  <si>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</si>
  <si>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</si>
  <si>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</si>
  <si>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</si>
  <si>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</si>
  <si>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</si>
  <si>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</si>
  <si>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</si>
  <si>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</si>
  <si>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</si>
  <si>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</si>
  <si>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</si>
  <si>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</si>
  <si>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</si>
  <si>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</si>
  <si>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</si>
  <si>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</si>
  <si>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</si>
  <si>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</si>
  <si>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</si>
  <si>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</si>
  <si>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</si>
  <si>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</si>
  <si>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</si>
  <si>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</si>
  <si>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</si>
  <si>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</si>
  <si>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</si>
  <si>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</si>
  <si>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</si>
  <si>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</si>
  <si>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</si>
  <si>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</si>
  <si>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</si>
  <si>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</si>
  <si>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</si>
  <si>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</si>
  <si>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</si>
  <si>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</si>
  <si>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</si>
  <si>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</si>
  <si>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</si>
  <si>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</si>
  <si>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</si>
  <si>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</si>
  <si>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</si>
  <si>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</si>
  <si>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</si>
  <si>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</si>
  <si>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</si>
  <si>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</si>
  <si>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</si>
  <si>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</si>
  <si>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</si>
  <si>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</si>
  <si>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</si>
  <si>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</si>
  <si>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</si>
  <si>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</si>
  <si>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</si>
  <si>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</si>
  <si>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</si>
  <si>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</si>
  <si>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</si>
  <si>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</si>
  <si>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</si>
  <si>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</si>
  <si>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</si>
  <si>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</si>
  <si>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</si>
  <si>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</si>
  <si>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</si>
  <si>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</si>
  <si>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</si>
  <si>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</si>
  <si>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</si>
  <si>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</si>
  <si>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</si>
  <si>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</si>
  <si>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</si>
  <si>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</si>
  <si>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</si>
  <si>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</si>
  <si>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</si>
  <si>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</si>
  <si>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</si>
  <si>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</si>
  <si>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</si>
  <si>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</si>
  <si>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</si>
  <si>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</si>
  <si>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</si>
  <si>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</si>
  <si>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</si>
  <si>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</si>
  <si>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</si>
  <si>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</si>
  <si>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</si>
  <si>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</si>
  <si>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</si>
  <si>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</si>
  <si>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</si>
  <si>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</si>
  <si>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</si>
  <si>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</si>
  <si>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</si>
  <si>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</si>
  <si>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</si>
  <si>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</si>
  <si>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</si>
  <si>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</si>
  <si>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</si>
  <si>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</si>
  <si>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</si>
  <si>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</si>
  <si>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</si>
  <si>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</si>
  <si>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</si>
  <si>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</si>
  <si>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</si>
  <si>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</si>
  <si>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</si>
  <si>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</si>
  <si>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</si>
  <si>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</si>
  <si>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</si>
  <si>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</si>
  <si>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</si>
  <si>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</si>
  <si>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</si>
  <si>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</si>
  <si>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</si>
  <si>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</si>
  <si>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</si>
  <si>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</si>
  <si>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</si>
  <si>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</si>
  <si>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</si>
  <si>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</si>
  <si>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</si>
  <si>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</si>
  <si>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</si>
  <si>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</si>
  <si>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</si>
  <si>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</si>
  <si>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</si>
  <si>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</si>
  <si>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</si>
  <si>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</si>
  <si>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</si>
  <si>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</si>
  <si>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</si>
  <si>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</si>
  <si>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</si>
  <si>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</si>
  <si>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</si>
  <si>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</si>
  <si>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</si>
  <si>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</si>
  <si>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</si>
  <si>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</si>
  <si>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</si>
  <si>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</si>
  <si>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</si>
  <si>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</si>
  <si>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</si>
  <si>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</si>
  <si>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</si>
  <si>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</si>
  <si>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</si>
  <si>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</si>
  <si>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</si>
  <si>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</si>
  <si>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</si>
  <si>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</si>
  <si>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</si>
  <si>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</si>
  <si>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</si>
  <si>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</si>
  <si>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</si>
  <si>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</si>
  <si>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</si>
  <si>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</si>
  <si>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</si>
  <si>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</si>
  <si>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</si>
  <si>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</si>
  <si>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</si>
  <si>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</si>
  <si>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</si>
  <si>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</si>
  <si>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</si>
  <si>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</si>
  <si>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</si>
  <si>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</si>
  <si>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</si>
  <si>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</si>
  <si>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</si>
  <si>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</si>
  <si>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</si>
  <si>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</si>
  <si>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</si>
  <si>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</si>
  <si>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</si>
  <si>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</si>
  <si>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</si>
  <si>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</si>
  <si>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</si>
  <si>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</si>
  <si>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</si>
  <si>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</si>
  <si>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</si>
  <si>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</si>
  <si>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</si>
  <si>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</si>
  <si>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</si>
  <si>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</si>
  <si>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</si>
  <si>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</si>
  <si>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</si>
  <si>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</si>
  <si>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</si>
  <si>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</si>
  <si>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</si>
  <si>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</si>
  <si>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</si>
  <si>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</si>
  <si>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</si>
  <si>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</si>
  <si>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</si>
  <si>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</si>
  <si>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</si>
  <si>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</si>
  <si>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</si>
  <si>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</si>
  <si>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</si>
  <si>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</si>
  <si>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</si>
  <si>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</si>
  <si>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</si>
  <si>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</si>
  <si>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</si>
  <si>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</si>
  <si>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</si>
  <si>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</si>
  <si>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</si>
  <si>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</si>
  <si>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</si>
  <si>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</si>
  <si>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</si>
  <si>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</si>
  <si>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</si>
  <si>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</si>
  <si>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</si>
  <si>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</si>
  <si>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</si>
  <si>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</si>
  <si>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</si>
  <si>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</si>
  <si>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</si>
  <si>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</si>
  <si>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</si>
  <si>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</si>
  <si>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</si>
  <si>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</si>
  <si>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</si>
  <si>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</si>
  <si>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</si>
  <si>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</si>
  <si>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</si>
  <si>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</si>
  <si>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</si>
  <si>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</si>
  <si>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</si>
  <si>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</si>
  <si>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</si>
  <si>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</si>
  <si>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</si>
  <si>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</si>
  <si>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</si>
  <si>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</si>
  <si>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</si>
  <si>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</si>
  <si>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</si>
  <si>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</si>
  <si>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</si>
  <si>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</si>
  <si>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</si>
  <si>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</si>
  <si>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</si>
  <si>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</si>
  <si>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</si>
  <si>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</si>
  <si>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</si>
  <si>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</si>
  <si>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</si>
  <si>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</si>
  <si>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</si>
  <si>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</si>
  <si>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</si>
  <si>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</si>
  <si>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</si>
  <si>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</si>
  <si>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</si>
  <si>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</si>
  <si>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</si>
  <si>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</si>
  <si>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</si>
  <si>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</si>
  <si>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</si>
  <si>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</si>
  <si>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</si>
  <si>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</si>
  <si>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</si>
  <si>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</si>
  <si>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</si>
  <si>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</si>
  <si>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</si>
  <si>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</si>
  <si>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</si>
  <si>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</si>
  <si>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</si>
  <si>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</si>
  <si>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</si>
  <si>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</si>
  <si>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</si>
  <si>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</si>
  <si>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</si>
  <si>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</si>
  <si>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</si>
  <si>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</si>
  <si>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</si>
  <si>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</si>
  <si>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</si>
  <si>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</si>
  <si>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</si>
  <si>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</si>
  <si>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</si>
  <si>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</si>
  <si>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</si>
  <si>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</si>
  <si>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</si>
  <si>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</si>
  <si>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</si>
  <si>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</si>
  <si>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</si>
  <si>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</si>
  <si>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</si>
  <si>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</si>
  <si>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</si>
  <si>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</si>
  <si>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</si>
  <si>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</si>
  <si>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</si>
  <si>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</si>
  <si>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</si>
  <si>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</si>
  <si>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</si>
  <si>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</si>
  <si>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</si>
  <si>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</si>
  <si>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</si>
  <si>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</si>
  <si>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</si>
  <si>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</si>
  <si>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</si>
  <si>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</si>
  <si>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</si>
  <si>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</si>
  <si>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</si>
  <si>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</si>
  <si>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</si>
  <si>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</si>
  <si>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</si>
  <si>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</si>
  <si>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</si>
  <si>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</si>
  <si>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</si>
  <si>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</si>
  <si>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</si>
  <si>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</si>
  <si>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</si>
  <si>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</si>
  <si>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</si>
  <si>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</si>
  <si>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</si>
  <si>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</si>
  <si>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</si>
  <si>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</si>
  <si>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</si>
  <si>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</si>
  <si>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</si>
  <si>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</si>
  <si>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</si>
  <si>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</si>
  <si>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</si>
  <si>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</si>
  <si>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</si>
  <si>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</si>
  <si>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</si>
  <si>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</si>
  <si>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</si>
  <si>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</si>
  <si>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</si>
  <si>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</si>
  <si>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</si>
  <si>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</si>
  <si>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</si>
  <si>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</si>
  <si>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</si>
  <si>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</si>
  <si>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</si>
  <si>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</si>
  <si>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</si>
  <si>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</si>
  <si>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</si>
  <si>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</si>
  <si>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</si>
  <si>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</si>
  <si>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</si>
  <si>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</si>
  <si>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</si>
  <si>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</si>
  <si>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</si>
  <si>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</si>
  <si>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</si>
  <si>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</si>
  <si>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</si>
  <si>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</si>
  <si>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</si>
  <si>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</si>
  <si>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</si>
  <si>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</si>
  <si>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</si>
  <si>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</si>
  <si>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</si>
  <si>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</si>
  <si>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</si>
  <si>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</si>
  <si>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</si>
  <si>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</si>
  <si>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</si>
  <si>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</si>
  <si>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</si>
  <si>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</si>
  <si>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</si>
  <si>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</si>
  <si>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</si>
  <si>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</si>
  <si>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</si>
  <si>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</si>
  <si>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</si>
  <si>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</si>
  <si>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</si>
  <si>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</si>
  <si>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</si>
  <si>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</si>
  <si>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</si>
  <si>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</si>
  <si>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</si>
  <si>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</si>
  <si>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</si>
  <si>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</si>
  <si>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</si>
  <si>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</si>
  <si>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</si>
  <si>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</si>
  <si>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</si>
  <si>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</si>
  <si>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</si>
  <si>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</si>
  <si>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</si>
  <si>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</si>
  <si>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</si>
  <si>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</si>
  <si>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</si>
  <si>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</si>
  <si>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</si>
  <si>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</si>
  <si>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</si>
  <si>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</si>
  <si>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</si>
  <si>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</si>
  <si>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</si>
  <si>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</si>
  <si>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</si>
  <si>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</si>
  <si>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</si>
  <si>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</si>
  <si>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</si>
  <si>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</si>
  <si>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</si>
  <si>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</si>
  <si>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</si>
  <si>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</si>
  <si>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</si>
  <si>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</si>
  <si>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</si>
  <si>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</si>
  <si>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</si>
  <si>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</si>
  <si>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</si>
  <si>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</si>
  <si>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</si>
  <si>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</si>
  <si>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</si>
  <si>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</si>
  <si>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</si>
  <si>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</si>
  <si>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</si>
  <si>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</si>
  <si>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</si>
  <si>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</si>
  <si>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</si>
  <si>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</si>
  <si>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</si>
  <si>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</si>
  <si>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</si>
  <si>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</si>
  <si>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</si>
  <si>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</si>
  <si>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</si>
  <si>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</si>
  <si>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</si>
  <si>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</si>
  <si>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</si>
  <si>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</si>
  <si>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</si>
  <si>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</si>
  <si>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</si>
  <si>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</si>
  <si>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</si>
  <si>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</si>
  <si>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</si>
  <si>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</si>
  <si>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</si>
  <si>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</si>
  <si>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</si>
  <si>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</si>
  <si>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</si>
  <si>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</si>
  <si>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</si>
  <si>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</si>
  <si>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</si>
  <si>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</si>
  <si>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</si>
  <si>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</si>
  <si>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</si>
  <si>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</si>
  <si>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</si>
  <si>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</si>
  <si>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</si>
  <si>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</si>
  <si>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</si>
  <si>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</si>
  <si>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</si>
  <si>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</si>
  <si>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</si>
  <si>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</si>
  <si>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</si>
  <si>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</si>
  <si>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</si>
  <si>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</si>
  <si>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</si>
  <si>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</si>
  <si>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</si>
  <si>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</si>
  <si>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</si>
  <si>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</si>
  <si>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</si>
  <si>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</si>
  <si>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</si>
  <si>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</si>
  <si>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</si>
  <si>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</si>
  <si>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</si>
  <si>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</si>
  <si>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</si>
  <si>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</si>
  <si>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</si>
  <si>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</si>
  <si>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</si>
  <si>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</si>
  <si>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</si>
  <si>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</si>
  <si>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</si>
  <si>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</si>
  <si>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</si>
  <si>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</si>
  <si>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</si>
  <si>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</si>
  <si>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</si>
  <si>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</si>
  <si>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</si>
  <si>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</si>
  <si>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</si>
  <si>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</si>
  <si>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</si>
  <si>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</si>
  <si>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</si>
  <si>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</si>
  <si>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</si>
  <si>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</si>
  <si>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</si>
  <si>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</si>
  <si>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</si>
  <si>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</si>
  <si>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</si>
  <si>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</si>
  <si>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</si>
  <si>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</si>
  <si>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</si>
  <si>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</si>
  <si>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</si>
  <si>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</si>
  <si>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</si>
  <si>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</si>
  <si>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</si>
  <si>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</si>
  <si>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</si>
  <si>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</si>
  <si>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</si>
  <si>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</si>
  <si>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</si>
  <si>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</si>
  <si>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</si>
  <si>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</si>
  <si>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</si>
  <si>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</si>
  <si>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</si>
  <si>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</si>
  <si>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</si>
  <si>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</si>
  <si>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</si>
  <si>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</si>
  <si>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</si>
  <si>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</si>
  <si>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</si>
  <si>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</si>
  <si>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</si>
  <si>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</si>
  <si>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</si>
  <si>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</si>
  <si>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</si>
  <si>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</si>
  <si>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</si>
  <si>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</si>
  <si>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</si>
  <si>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</si>
  <si>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</si>
  <si>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</si>
  <si>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</si>
  <si>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</si>
  <si>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</si>
  <si>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</si>
  <si>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</si>
  <si>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</si>
  <si>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</si>
  <si>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</si>
  <si>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</si>
  <si>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</si>
  <si>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</si>
  <si>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</si>
  <si>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</si>
  <si>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</si>
  <si>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</si>
  <si>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</si>
  <si>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</si>
  <si>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</si>
  <si>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</si>
  <si>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</si>
  <si>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</si>
  <si>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</si>
  <si>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</si>
  <si>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</si>
  <si>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</si>
  <si>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</si>
  <si>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</si>
  <si>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</si>
  <si>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</si>
  <si>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</si>
  <si>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</si>
  <si>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</si>
  <si>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</si>
  <si>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</si>
  <si>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</si>
  <si>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</si>
  <si>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</si>
  <si>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</si>
  <si>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</si>
  <si>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</si>
  <si>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</si>
  <si>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</si>
  <si>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</si>
  <si>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</si>
  <si>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</si>
  <si>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</si>
  <si>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</si>
  <si>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</si>
  <si>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</si>
  <si>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</si>
  <si>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</si>
  <si>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</si>
  <si>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</si>
  <si>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</si>
  <si>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</si>
  <si>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</si>
  <si>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</si>
  <si>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</si>
  <si>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</si>
  <si>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</si>
  <si>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</si>
  <si>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</si>
  <si>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</si>
  <si>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</si>
  <si>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</si>
  <si>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</si>
  <si>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</si>
  <si>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</si>
  <si>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</si>
  <si>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</si>
  <si>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</si>
  <si>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</si>
  <si>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</si>
  <si>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</si>
  <si>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</si>
  <si>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</si>
  <si>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</si>
  <si>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</si>
  <si>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</si>
  <si>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</si>
  <si>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</si>
  <si>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</si>
  <si>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</si>
  <si>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</si>
  <si>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</si>
  <si>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</si>
  <si>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</si>
  <si>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</si>
  <si>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</si>
  <si>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</si>
  <si>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</si>
  <si>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</si>
  <si>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</si>
  <si>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</si>
  <si>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</si>
  <si>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</si>
  <si>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</si>
  <si>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</si>
  <si>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</si>
  <si>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</si>
  <si>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</si>
  <si>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</si>
  <si>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</si>
  <si>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</si>
  <si>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</si>
  <si>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</si>
  <si>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</si>
  <si>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</si>
  <si>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</si>
  <si>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</si>
  <si>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</si>
  <si>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</si>
  <si>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</si>
  <si>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</si>
  <si>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</si>
  <si>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</si>
  <si>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</si>
  <si>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</si>
  <si>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</si>
  <si>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</si>
  <si>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</si>
  <si>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</si>
  <si>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</si>
  <si>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</si>
  <si>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</si>
  <si>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</si>
  <si>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</si>
  <si>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</si>
  <si>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</si>
  <si>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</si>
  <si>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</si>
  <si>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</si>
  <si>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</si>
  <si>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</si>
  <si>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</si>
  <si>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</si>
  <si>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</si>
  <si>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</si>
  <si>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</si>
  <si>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</si>
  <si>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</si>
  <si>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</si>
  <si>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</si>
  <si>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</si>
  <si>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</si>
  <si>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</si>
  <si>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</si>
  <si>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</si>
  <si>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</si>
  <si>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</si>
  <si>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</si>
  <si>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</si>
  <si>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</si>
  <si>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</si>
  <si>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</si>
  <si>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</si>
  <si>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</si>
  <si>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</si>
  <si>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</si>
  <si>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</si>
  <si>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</si>
  <si>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</si>
  <si>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</si>
  <si>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</si>
  <si>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</si>
  <si>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</si>
  <si>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</si>
  <si>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</si>
  <si>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</si>
  <si>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</si>
  <si>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</si>
  <si>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</si>
  <si>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</si>
  <si>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</si>
  <si>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</si>
  <si>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</si>
  <si>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</si>
  <si>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</si>
  <si>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</si>
  <si>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</si>
  <si>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</si>
  <si>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</si>
  <si>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</si>
  <si>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</si>
  <si>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</si>
  <si>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</si>
  <si>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</si>
  <si>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</si>
  <si>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</si>
  <si>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</si>
  <si>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</si>
  <si>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</si>
  <si>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</si>
  <si>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</si>
  <si>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</si>
  <si>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</si>
  <si>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</si>
  <si>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</si>
  <si>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</si>
  <si>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</si>
  <si>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</si>
  <si>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</si>
  <si>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</si>
  <si>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</si>
  <si>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</si>
  <si>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</si>
  <si>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</si>
  <si>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</si>
  <si>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</si>
  <si>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</si>
  <si>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</si>
  <si>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</si>
  <si>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</si>
  <si>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</si>
  <si>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</si>
  <si>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</si>
  <si>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</si>
  <si>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</si>
  <si>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</si>
  <si>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</si>
  <si>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</si>
  <si>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</si>
  <si>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</si>
  <si>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</si>
  <si>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</si>
  <si>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</si>
  <si>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</si>
  <si>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</si>
  <si>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</si>
  <si>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</si>
  <si>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</si>
  <si>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</si>
  <si>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</si>
  <si>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</si>
  <si>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</si>
  <si>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</si>
  <si>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</si>
  <si>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</si>
  <si>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</si>
  <si>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</si>
  <si>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</si>
  <si>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</si>
  <si>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</si>
  <si>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</si>
  <si>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</si>
  <si>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</si>
  <si>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</si>
  <si>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</si>
  <si>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</si>
  <si>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</si>
  <si>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</si>
  <si>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</si>
  <si>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</si>
  <si>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</si>
  <si>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</si>
  <si>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</si>
  <si>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</si>
  <si>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</si>
  <si>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</si>
  <si>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</si>
  <si>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</si>
  <si>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</si>
  <si>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</si>
  <si>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</si>
  <si>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</si>
  <si>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</si>
  <si>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</si>
  <si>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</si>
  <si>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</si>
  <si>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</si>
  <si>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</si>
  <si>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</si>
  <si>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</si>
  <si>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</si>
  <si>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</si>
  <si>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</si>
  <si>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</si>
  <si>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</si>
  <si>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</si>
  <si>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</si>
  <si>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</si>
  <si>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</si>
  <si>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</si>
  <si>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</si>
  <si>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</si>
  <si>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</si>
  <si>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</si>
  <si>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</si>
  <si>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</si>
  <si>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</si>
  <si>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</si>
  <si>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</si>
  <si>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</si>
  <si>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</si>
  <si>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</si>
  <si>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</si>
  <si>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</si>
  <si>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</si>
  <si>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</si>
  <si>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</si>
  <si>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</si>
  <si>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</si>
  <si>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</si>
  <si>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</si>
  <si>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</si>
  <si>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</si>
  <si>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</si>
  <si>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</si>
  <si>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</si>
  <si>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</si>
  <si>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</si>
  <si>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</si>
  <si>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</si>
  <si>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</si>
  <si>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</si>
  <si>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</si>
  <si>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</si>
  <si>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</si>
  <si>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</si>
  <si>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</si>
  <si>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</si>
  <si>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</si>
  <si>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</si>
  <si>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</si>
  <si>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</si>
  <si>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</si>
  <si>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</si>
  <si>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</si>
  <si>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</si>
  <si>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</si>
  <si>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</si>
  <si>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</si>
  <si>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</si>
  <si>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</si>
  <si>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</si>
  <si>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</si>
  <si>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</si>
  <si>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</si>
  <si>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</si>
  <si>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</si>
  <si>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</si>
  <si>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</si>
  <si>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</si>
  <si>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</si>
  <si>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</si>
  <si>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</si>
  <si>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</si>
  <si>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</si>
  <si>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</si>
  <si>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</si>
  <si>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</si>
  <si>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</si>
  <si>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</si>
  <si>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</si>
  <si>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</si>
  <si>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</si>
  <si>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</si>
  <si>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</si>
  <si>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</si>
  <si>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</si>
  <si>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</si>
  <si>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</si>
  <si>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</si>
  <si>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</si>
  <si>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</si>
  <si>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</si>
  <si>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</si>
  <si>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</si>
  <si>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</si>
  <si>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</si>
  <si>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</si>
  <si>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</si>
  <si>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</si>
  <si>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</si>
  <si>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</si>
  <si>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</si>
  <si>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</si>
  <si>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</si>
  <si>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</si>
  <si>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</si>
  <si>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</si>
  <si>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</si>
  <si>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</si>
  <si>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</si>
  <si>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</si>
  <si>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</si>
  <si>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</si>
  <si>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</si>
  <si>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</si>
  <si>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</si>
  <si>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</si>
  <si>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</si>
  <si>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</si>
  <si>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</si>
  <si>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</si>
  <si>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</si>
  <si>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</si>
  <si>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</si>
  <si>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</si>
  <si>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</si>
  <si>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</si>
  <si>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</si>
  <si>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</si>
  <si>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</si>
  <si>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</si>
  <si>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</si>
  <si>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</si>
  <si>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</si>
  <si>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</si>
  <si>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</si>
  <si>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</si>
  <si>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</si>
  <si>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</si>
  <si>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</si>
  <si>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</si>
  <si>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</si>
  <si>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</si>
  <si>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</si>
  <si>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</si>
  <si>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</si>
  <si>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</si>
  <si>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</si>
  <si>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</si>
  <si>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</si>
  <si>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</si>
  <si>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</si>
  <si>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</si>
  <si>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</si>
  <si>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</si>
  <si>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</si>
  <si>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</si>
  <si>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</si>
  <si>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</si>
  <si>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</si>
  <si>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</si>
  <si>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</si>
  <si>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</si>
  <si>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</si>
  <si>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</si>
  <si>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</si>
  <si>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</si>
  <si>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</si>
  <si>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</si>
  <si>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</si>
  <si>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</si>
  <si>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</si>
  <si>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</si>
  <si>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</si>
  <si>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</si>
  <si>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</si>
  <si>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</si>
  <si>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</si>
  <si>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</si>
  <si>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</si>
  <si>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</si>
  <si>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</si>
  <si>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</si>
  <si>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</si>
  <si>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</si>
  <si>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</si>
  <si>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</si>
  <si>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</si>
  <si>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</si>
  <si>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</si>
  <si>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</si>
  <si>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</si>
  <si>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</si>
  <si>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</si>
  <si>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</si>
  <si>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</si>
  <si>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</si>
  <si>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</si>
  <si>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</si>
  <si>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</si>
  <si>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</si>
  <si>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</si>
  <si>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</si>
  <si>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</si>
  <si>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</si>
  <si>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</si>
  <si>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</si>
  <si>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</si>
  <si>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</si>
  <si>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</si>
  <si>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</si>
  <si>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</si>
  <si>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</si>
  <si>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</si>
  <si>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</si>
  <si>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</si>
  <si>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</si>
  <si>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</si>
  <si>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</si>
  <si>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</si>
  <si>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</si>
  <si>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</si>
  <si>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</si>
  <si>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</si>
  <si>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</si>
  <si>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</si>
  <si>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</si>
  <si>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</si>
  <si>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</si>
  <si>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</si>
  <si>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</si>
  <si>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</si>
  <si>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</si>
  <si>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</si>
  <si>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</si>
  <si>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</si>
  <si>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</si>
  <si>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</si>
  <si>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</si>
  <si>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</si>
  <si>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</si>
  <si>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</si>
  <si>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</si>
  <si>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</si>
  <si>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</si>
  <si>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</si>
  <si>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</si>
  <si>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</si>
  <si>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</si>
  <si>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</si>
  <si>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</si>
  <si>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</si>
  <si>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</si>
  <si>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</si>
  <si>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</si>
  <si>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</si>
  <si>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</si>
  <si>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</si>
  <si>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</si>
  <si>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</si>
  <si>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</si>
  <si>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</si>
  <si>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</si>
  <si>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</si>
  <si>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</si>
  <si>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</si>
  <si>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</si>
  <si>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</si>
  <si>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</si>
  <si>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</si>
  <si>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</si>
  <si>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</si>
  <si>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</si>
  <si>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</si>
  <si>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</si>
  <si>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</si>
  <si>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</si>
  <si>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</si>
  <si>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</si>
  <si>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</si>
  <si>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</si>
  <si>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</si>
  <si>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</si>
  <si>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</si>
  <si>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</si>
  <si>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</si>
  <si>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</si>
  <si>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</si>
  <si>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</si>
  <si>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</si>
  <si>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</si>
  <si>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</si>
  <si>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</si>
  <si>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</si>
  <si>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</si>
  <si>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</si>
  <si>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</si>
  <si>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</si>
  <si>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</si>
  <si>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</si>
  <si>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</si>
  <si>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</si>
  <si>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</si>
  <si>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</si>
  <si>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</si>
  <si>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</si>
  <si>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</si>
  <si>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</si>
  <si>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</si>
  <si>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</si>
  <si>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</si>
  <si>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</si>
  <si>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</si>
  <si>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</si>
  <si>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</si>
  <si>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</si>
  <si>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</si>
  <si>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</si>
  <si>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</si>
  <si>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</si>
  <si>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</si>
  <si>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</si>
  <si>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</si>
  <si>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</si>
  <si>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</si>
  <si>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</si>
  <si>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</si>
  <si>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</si>
  <si>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</si>
  <si>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</si>
  <si>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</si>
  <si>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</si>
  <si>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</si>
  <si>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</si>
  <si>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</si>
  <si>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</si>
  <si>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</si>
  <si>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</si>
  <si>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</si>
  <si>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</si>
  <si>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</si>
  <si>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</si>
  <si>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</si>
  <si>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</si>
  <si>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</si>
  <si>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</si>
  <si>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</si>
  <si>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</si>
  <si>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</si>
  <si>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</si>
  <si>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</si>
  <si>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</si>
  <si>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</si>
  <si>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</si>
  <si>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</si>
  <si>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</si>
  <si>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</si>
  <si>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</si>
  <si>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</si>
  <si>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</si>
  <si>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</si>
  <si>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</si>
  <si>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</si>
  <si>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</si>
  <si>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</si>
  <si>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</si>
  <si>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</si>
  <si>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</si>
  <si>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</si>
  <si>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</si>
  <si>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</si>
  <si>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</si>
  <si>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</si>
  <si>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</si>
  <si>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</si>
  <si>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</si>
  <si>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</si>
  <si>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</si>
  <si>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</si>
  <si>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</si>
  <si>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</si>
  <si>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</si>
  <si>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</si>
  <si>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</si>
  <si>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</si>
  <si>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</si>
  <si>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</si>
  <si>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</si>
  <si>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</si>
  <si>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</si>
  <si>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</si>
  <si>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</si>
  <si>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</si>
  <si>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</si>
  <si>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</si>
  <si>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</si>
  <si>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</si>
  <si>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</si>
  <si>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</si>
  <si>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</si>
  <si>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</si>
  <si>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</si>
  <si>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</si>
  <si>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</si>
  <si>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</si>
  <si>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</si>
  <si>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</si>
  <si>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</si>
  <si>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</si>
  <si>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</si>
  <si>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</si>
  <si>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</si>
  <si>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</si>
  <si>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</si>
  <si>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</si>
  <si>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</si>
  <si>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</si>
  <si>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</si>
  <si>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</si>
  <si>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</si>
  <si>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</si>
  <si>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</si>
  <si>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</si>
  <si>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</si>
  <si>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</si>
  <si>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</si>
  <si>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</si>
  <si>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</si>
  <si>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</si>
  <si>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</si>
  <si>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</si>
  <si>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</si>
  <si>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</si>
  <si>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</si>
  <si>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</si>
  <si>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</si>
  <si>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</si>
  <si>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</si>
  <si>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</si>
  <si>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</si>
  <si>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</si>
  <si>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</si>
  <si>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</si>
  <si>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</si>
  <si>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</si>
  <si>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</si>
  <si>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</si>
  <si>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</si>
  <si>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</si>
  <si>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</si>
  <si>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</si>
  <si>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</si>
  <si>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</si>
  <si>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</si>
  <si>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</si>
  <si>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</si>
  <si>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</si>
  <si>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</si>
  <si>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</si>
  <si>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</si>
  <si>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</si>
  <si>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</si>
  <si>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</si>
  <si>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</si>
  <si>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</si>
  <si>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</si>
  <si>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</si>
  <si>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</si>
  <si>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</si>
  <si>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</si>
  <si>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</si>
  <si>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</si>
  <si>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</si>
  <si>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</si>
  <si>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</si>
  <si>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</si>
  <si>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</si>
  <si>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</si>
  <si>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</si>
  <si>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</si>
  <si>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</si>
  <si>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</si>
  <si>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</si>
  <si>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</si>
  <si>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</si>
  <si>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</si>
  <si>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</si>
  <si>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</si>
  <si>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</si>
  <si>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</si>
  <si>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</si>
  <si>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</si>
  <si>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</si>
  <si>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</si>
  <si>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</si>
  <si>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</si>
  <si>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</si>
  <si>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</si>
  <si>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</si>
  <si>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</si>
  <si>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</si>
  <si>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</si>
  <si>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</si>
  <si>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</si>
  <si>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</si>
  <si>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</si>
  <si>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</si>
  <si>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</si>
  <si>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</si>
  <si>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</si>
  <si>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</si>
  <si>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</si>
  <si>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</si>
  <si>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</si>
  <si>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</si>
  <si>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</si>
  <si>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</si>
  <si>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</si>
  <si>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</si>
  <si>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</si>
  <si>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</si>
  <si>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</si>
  <si>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</si>
  <si>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</si>
  <si>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</si>
  <si>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</si>
  <si>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</si>
  <si>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</si>
  <si>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</si>
  <si>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</si>
  <si>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</si>
  <si>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</si>
  <si>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</si>
  <si>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</si>
  <si>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</si>
  <si>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</si>
  <si>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</si>
  <si>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</si>
  <si>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</si>
  <si>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</si>
  <si>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</si>
  <si>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</si>
  <si>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</si>
  <si>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</si>
  <si>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</si>
  <si>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</si>
  <si>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</si>
  <si>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</si>
  <si>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</si>
  <si>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</si>
  <si>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</si>
  <si>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</si>
  <si>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</si>
  <si>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</si>
  <si>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</si>
  <si>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</si>
  <si>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</si>
  <si>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</si>
  <si>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</si>
  <si>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</si>
  <si>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</si>
  <si>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</si>
  <si>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</si>
  <si>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</si>
  <si>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</si>
  <si>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</si>
  <si>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</si>
  <si>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</si>
  <si>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</si>
  <si>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</si>
  <si>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</si>
  <si>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</si>
  <si>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</si>
  <si>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</si>
  <si>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</si>
  <si>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</si>
  <si>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</si>
  <si>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</si>
  <si>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</si>
  <si>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</si>
  <si>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</si>
  <si>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</si>
  <si>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</si>
  <si>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</si>
  <si>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</si>
  <si>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</si>
  <si>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</si>
  <si>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</si>
  <si>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</si>
  <si>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</si>
  <si>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</si>
  <si>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</si>
  <si>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</si>
  <si>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</si>
  <si>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</si>
  <si>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</si>
  <si>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</si>
  <si>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</si>
  <si>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</si>
  <si>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</si>
  <si>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</si>
  <si>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</si>
  <si>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</si>
  <si>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</si>
  <si>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</si>
  <si>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</si>
  <si>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</si>
  <si>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</si>
  <si>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</si>
  <si>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</si>
  <si>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</si>
  <si>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</si>
  <si>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</si>
  <si>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</si>
  <si>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</si>
  <si>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</si>
  <si>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</si>
  <si>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</si>
  <si>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</si>
  <si>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</si>
  <si>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</si>
  <si>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</si>
  <si>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</si>
  <si>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</si>
  <si>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</si>
  <si>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</si>
  <si>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</si>
  <si>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</si>
  <si>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</si>
  <si>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</si>
  <si>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</si>
  <si>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</si>
  <si>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</si>
  <si>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</si>
  <si>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</si>
  <si>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</si>
  <si>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</si>
  <si>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</si>
  <si>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</si>
  <si>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</si>
  <si>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</si>
  <si>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</si>
  <si>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</si>
  <si>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</si>
  <si>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</si>
  <si>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</si>
  <si>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</si>
  <si>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</si>
  <si>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</si>
  <si>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</si>
  <si>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</si>
  <si>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</si>
  <si>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</si>
  <si>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</si>
  <si>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</si>
  <si>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</si>
  <si>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</si>
  <si>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</si>
  <si>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</si>
  <si>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</si>
  <si>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</si>
  <si>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</si>
  <si>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</si>
  <si>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</si>
  <si>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</si>
  <si>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</si>
  <si>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</si>
  <si>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</si>
  <si>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</si>
  <si>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</si>
  <si>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</si>
  <si>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</si>
  <si>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</si>
  <si>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>4577231#1</t>
  </si>
  <si>
    <t>Basilmx</t>
  </si>
  <si>
    <t>3259214#1</t>
  </si>
  <si>
    <t>Cristian Rodriguez Miranda</t>
  </si>
  <si>
    <t>4566098#1</t>
  </si>
  <si>
    <t>Bmdsistemas</t>
  </si>
  <si>
    <t>1858096#1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</si>
  <si>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</si>
  <si>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</si>
  <si>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</si>
  <si>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</si>
  <si>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</si>
  <si>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</si>
  <si>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</si>
  <si>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</si>
  <si>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</si>
  <si>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4568128#1</t>
  </si>
  <si>
    <t>Arteplac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</si>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</sst>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2bc11d0-43ba-49e4-8f0b-2c272e1c6cb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2bc11d0-43ba-49e4-8f0b-2c272e1c6cb8}" id="{201a05d3-0446-43ec-86a7-68f8d25249c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9</v>
      </c>
      <c r="F19" s="246">
        <f t="shared" ref="F19:F21" si="1">C19-E19</f>
        <v>21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6</v>
      </c>
      <c r="L19" s="33">
        <f t="shared" ref="L19:L23" si="2">I19-K19</f>
        <v>-1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</v>
      </c>
      <c r="F20" s="246">
        <f t="shared" si="1"/>
        <v>14</v>
      </c>
      <c r="G20" s="10"/>
      <c r="H20" s="22" t="s">
        <v>18</v>
      </c>
      <c r="I20" s="36">
        <v>10.0</v>
      </c>
      <c r="J20" s="10"/>
      <c r="K20" s="33">
        <f>SUMIF($K$4:$K$17, H20,$L$4:$L$17)</f>
        <v>3</v>
      </c>
      <c r="L20" s="33">
        <f t="shared" si="2"/>
        <v>7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5</v>
      </c>
      <c r="L21" s="33">
        <f t="shared" si="2"/>
        <v>15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5</v>
      </c>
      <c r="L22" s="33">
        <f t="shared" si="2"/>
        <v>10</v>
      </c>
    </row>
    <row r="23" outlineLevel="1">
      <c r="D23" s="10"/>
      <c r="E23" s="37" t="s">
        <v>41</v>
      </c>
      <c r="F23" s="38">
        <f>SUM(F19:F21)</f>
        <v>47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2</v>
      </c>
      <c r="L23" s="33">
        <f t="shared" si="2"/>
        <v>8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39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98"/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61"/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3704</v>
      </c>
      <c r="D11" s="273" t="s">
        <v>3705</v>
      </c>
      <c r="E11" s="402" t="s">
        <v>22</v>
      </c>
      <c r="F11" s="58" t="s">
        <v>12</v>
      </c>
      <c r="G11" s="61"/>
      <c r="H11" s="269"/>
      <c r="J11" s="403">
        <v>46174.0</v>
      </c>
      <c r="K11" s="294" t="s">
        <v>3706</v>
      </c>
      <c r="L11" s="294" t="s">
        <v>3707</v>
      </c>
      <c r="M11" s="295" t="s">
        <v>18</v>
      </c>
      <c r="N11" s="295" t="s">
        <v>2337</v>
      </c>
      <c r="O11" s="61"/>
      <c r="P11" s="298"/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3708</v>
      </c>
      <c r="D12" s="294" t="s">
        <v>3709</v>
      </c>
      <c r="E12" s="391" t="s">
        <v>22</v>
      </c>
      <c r="F12" s="58" t="s">
        <v>12</v>
      </c>
      <c r="G12" s="61"/>
      <c r="H12" s="269"/>
      <c r="J12" s="401">
        <v>46174.0</v>
      </c>
      <c r="K12" s="273" t="s">
        <v>3710</v>
      </c>
      <c r="L12" s="273" t="s">
        <v>3711</v>
      </c>
      <c r="M12" s="274" t="s">
        <v>27</v>
      </c>
      <c r="N12" s="274" t="s">
        <v>2337</v>
      </c>
      <c r="O12" s="61"/>
      <c r="P12" s="298"/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3712</v>
      </c>
      <c r="D13" s="273" t="s">
        <v>3713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3714</v>
      </c>
      <c r="L13" s="294" t="s">
        <v>3715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7"/>
      <c r="BG13" s="453"/>
      <c r="BH13" s="453"/>
      <c r="BI13" s="468"/>
      <c r="BJ13" s="455"/>
      <c r="BK13" s="61"/>
      <c r="BL13" s="269"/>
    </row>
    <row r="14" ht="22.5" customHeight="1">
      <c r="A14" s="368"/>
      <c r="B14" s="270">
        <v>46175.0</v>
      </c>
      <c r="C14" s="312" t="s">
        <v>3716</v>
      </c>
      <c r="D14" s="469" t="s">
        <v>3717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3718</v>
      </c>
      <c r="L14" s="273" t="s">
        <v>3719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0"/>
      <c r="BG14" s="450"/>
      <c r="BH14" s="450"/>
      <c r="BI14" s="452"/>
      <c r="BJ14" s="452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403">
        <v>46174.0</v>
      </c>
      <c r="K15" s="294" t="s">
        <v>3720</v>
      </c>
      <c r="L15" s="294" t="s">
        <v>3721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7"/>
      <c r="BG15" s="453"/>
      <c r="BH15" s="453"/>
      <c r="BI15" s="455"/>
      <c r="BJ15" s="455"/>
      <c r="BK15" s="109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401">
        <v>46174.0</v>
      </c>
      <c r="K16" s="273" t="s">
        <v>3722</v>
      </c>
      <c r="L16" s="273" t="s">
        <v>3723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0"/>
      <c r="BG16" s="450"/>
      <c r="BH16" s="450"/>
      <c r="BI16" s="452"/>
      <c r="BJ16" s="452"/>
      <c r="BK16" s="61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380">
        <v>46174.0</v>
      </c>
      <c r="K17" s="294" t="s">
        <v>3724</v>
      </c>
      <c r="L17" s="294" t="s">
        <v>3725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1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382">
        <v>46174.0</v>
      </c>
      <c r="K18" s="273" t="s">
        <v>3726</v>
      </c>
      <c r="L18" s="273" t="s">
        <v>3727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380">
        <v>46174.0</v>
      </c>
      <c r="K19" s="294" t="s">
        <v>3728</v>
      </c>
      <c r="L19" s="294" t="s">
        <v>3729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7"/>
      <c r="AQ19" s="453"/>
      <c r="AR19" s="453"/>
      <c r="AS19" s="468"/>
      <c r="AT19" s="455"/>
      <c r="AU19" s="472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382">
        <v>46174.0</v>
      </c>
      <c r="K20" s="273" t="s">
        <v>3730</v>
      </c>
      <c r="L20" s="273" t="s">
        <v>3731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0"/>
      <c r="AQ20" s="450"/>
      <c r="AR20" s="450"/>
      <c r="AS20" s="473"/>
      <c r="AT20" s="452"/>
      <c r="AU20" s="474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380">
        <v>46174.0</v>
      </c>
      <c r="K21" s="294" t="s">
        <v>3732</v>
      </c>
      <c r="L21" s="294" t="s">
        <v>3733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7"/>
      <c r="AQ21" s="453"/>
      <c r="AR21" s="453"/>
      <c r="AS21" s="468"/>
      <c r="AT21" s="455"/>
      <c r="AU21" s="472"/>
      <c r="AV21" s="269"/>
      <c r="AX21" s="270"/>
      <c r="AY21" s="384"/>
      <c r="AZ21" s="475"/>
      <c r="BA21" s="58"/>
      <c r="BB21" s="58"/>
      <c r="BC21" s="61"/>
      <c r="BD21" s="269"/>
      <c r="BF21" s="467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382">
        <v>46174.0</v>
      </c>
      <c r="K22" s="273" t="s">
        <v>3734</v>
      </c>
      <c r="L22" s="273" t="s">
        <v>3735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0"/>
      <c r="AQ22" s="450"/>
      <c r="AR22" s="450"/>
      <c r="AS22" s="473"/>
      <c r="AT22" s="452"/>
      <c r="AU22" s="474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7"/>
      <c r="AQ23" s="453"/>
      <c r="AR23" s="453"/>
      <c r="AS23" s="468"/>
      <c r="AT23" s="455"/>
      <c r="AU23" s="472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109"/>
      <c r="H24" s="269"/>
      <c r="J24" s="270"/>
      <c r="K24" s="109"/>
      <c r="L24" s="109"/>
      <c r="M24" s="58"/>
      <c r="N24" s="58"/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61"/>
      <c r="H25" s="269"/>
      <c r="J25" s="270"/>
      <c r="K25" s="109"/>
      <c r="L25" s="109"/>
      <c r="M25" s="58"/>
      <c r="N25" s="58"/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0"/>
      <c r="AQ27" s="450"/>
      <c r="AR27" s="450"/>
      <c r="AS27" s="473"/>
      <c r="AT27" s="452"/>
      <c r="AU27" s="474"/>
      <c r="AV27" s="269"/>
      <c r="AX27" s="270"/>
      <c r="AY27" s="450"/>
      <c r="AZ27" s="476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7"/>
      <c r="AQ28" s="453"/>
      <c r="AR28" s="453"/>
      <c r="AS28" s="468"/>
      <c r="AT28" s="455"/>
      <c r="AU28" s="472"/>
      <c r="AV28" s="269"/>
      <c r="AX28" s="270"/>
      <c r="AY28" s="453"/>
      <c r="AZ28" s="477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0"/>
      <c r="AQ29" s="450"/>
      <c r="AR29" s="450"/>
      <c r="AS29" s="473"/>
      <c r="AT29" s="452"/>
      <c r="AU29" s="474"/>
      <c r="AV29" s="269"/>
      <c r="AX29" s="270"/>
      <c r="AY29" s="450"/>
      <c r="AZ29" s="476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109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7"/>
      <c r="AQ30" s="453"/>
      <c r="AR30" s="453"/>
      <c r="AS30" s="455"/>
      <c r="AT30" s="455"/>
      <c r="AU30" s="478"/>
      <c r="AV30" s="298"/>
      <c r="AX30" s="270"/>
      <c r="AY30" s="453"/>
      <c r="AZ30" s="477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58"/>
      <c r="G31" s="61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0"/>
      <c r="AI31" s="450"/>
      <c r="AJ31" s="450"/>
      <c r="AK31" s="473"/>
      <c r="AL31" s="452"/>
      <c r="AM31" s="61"/>
      <c r="AN31" s="269"/>
      <c r="AP31" s="449"/>
      <c r="AQ31" s="450"/>
      <c r="AR31" s="450"/>
      <c r="AS31" s="466"/>
      <c r="AT31" s="452"/>
      <c r="AU31" s="479"/>
      <c r="AV31" s="269"/>
      <c r="AX31" s="270"/>
      <c r="AY31" s="450"/>
      <c r="AZ31" s="476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39"/>
      <c r="U32" s="58"/>
      <c r="V32" s="58"/>
      <c r="W32" s="61"/>
      <c r="X32" s="269"/>
      <c r="Z32" s="480"/>
      <c r="AA32" s="481"/>
      <c r="AB32" s="482"/>
      <c r="AC32" s="483"/>
      <c r="AD32" s="484"/>
      <c r="AE32" s="61"/>
      <c r="AF32" s="269"/>
      <c r="AH32" s="467"/>
      <c r="AI32" s="453"/>
      <c r="AJ32" s="453"/>
      <c r="AK32" s="468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7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109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85"/>
      <c r="U33" s="58"/>
      <c r="V33" s="58"/>
      <c r="W33" s="61"/>
      <c r="X33" s="269"/>
      <c r="Z33" s="480"/>
      <c r="AA33" s="481"/>
      <c r="AB33" s="481"/>
      <c r="AC33" s="486"/>
      <c r="AD33" s="487"/>
      <c r="AE33" s="61"/>
      <c r="AF33" s="269"/>
      <c r="AH33" s="470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8"/>
      <c r="AV33" s="298"/>
      <c r="AX33" s="270"/>
      <c r="AY33" s="450"/>
      <c r="AZ33" s="476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61"/>
      <c r="H34" s="269"/>
      <c r="J34" s="270"/>
      <c r="K34" s="109"/>
      <c r="L34" s="109"/>
      <c r="M34" s="58"/>
      <c r="N34" s="58"/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7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6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7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109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6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58"/>
      <c r="G38" s="61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7"/>
      <c r="BA38" s="58"/>
      <c r="BB38" s="58"/>
      <c r="BC38" s="61"/>
      <c r="BD38" s="269"/>
      <c r="BF38" s="449"/>
      <c r="BG38" s="450"/>
      <c r="BH38" s="450"/>
      <c r="BI38" s="451"/>
      <c r="BJ38" s="471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6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109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7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61"/>
      <c r="H41" s="269"/>
      <c r="J41" s="270"/>
      <c r="K41" s="109"/>
      <c r="L41" s="109"/>
      <c r="M41" s="58"/>
      <c r="N41" s="58"/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6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109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7"/>
      <c r="BA42" s="58"/>
      <c r="BB42" s="58"/>
      <c r="BC42" s="61"/>
      <c r="BD42" s="269"/>
      <c r="BF42" s="470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61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7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0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7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0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7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89"/>
      <c r="AI49" s="453"/>
      <c r="AJ49" s="453"/>
      <c r="AK49" s="468"/>
      <c r="AL49" s="455"/>
      <c r="AM49" s="61"/>
      <c r="AN49" s="269"/>
      <c r="AP49" s="449"/>
      <c r="AQ49" s="450"/>
      <c r="AR49" s="482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0"/>
      <c r="AI50" s="450"/>
      <c r="AJ50" s="450"/>
      <c r="AK50" s="473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89"/>
      <c r="AI51" s="453"/>
      <c r="AJ51" s="453"/>
      <c r="AK51" s="468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0"/>
      <c r="AI52" s="450"/>
      <c r="AJ52" s="450"/>
      <c r="AK52" s="473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9"/>
      <c r="AI53" s="453"/>
      <c r="AJ53" s="453"/>
      <c r="AK53" s="468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3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1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1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0"/>
      <c r="AI58" s="450"/>
      <c r="AJ58" s="450"/>
      <c r="AK58" s="473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7"/>
      <c r="AI59" s="453"/>
      <c r="AJ59" s="453"/>
      <c r="AK59" s="468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0"/>
      <c r="AI60" s="450"/>
      <c r="AJ60" s="450"/>
      <c r="AK60" s="473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5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58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492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7"/>
      <c r="AA75" s="453"/>
      <c r="AB75" s="453"/>
      <c r="AC75" s="468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0"/>
      <c r="AA76" s="450"/>
      <c r="AB76" s="450"/>
      <c r="AC76" s="473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7"/>
      <c r="AA77" s="453"/>
      <c r="AB77" s="453"/>
      <c r="AC77" s="468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0"/>
      <c r="AA78" s="450"/>
      <c r="AB78" s="450"/>
      <c r="AC78" s="473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7"/>
      <c r="AA79" s="453"/>
      <c r="AB79" s="453"/>
      <c r="AC79" s="468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3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3"/>
      <c r="AA83" s="482"/>
      <c r="AB83" s="482"/>
      <c r="AC83" s="494"/>
      <c r="AD83" s="495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70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70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436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0"/>
      <c r="AA89" s="482"/>
      <c r="AB89" s="450"/>
      <c r="AC89" s="473"/>
      <c r="AD89" s="452"/>
      <c r="AE89" s="474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7"/>
      <c r="AA90" s="453"/>
      <c r="AB90" s="453"/>
      <c r="AC90" s="468"/>
      <c r="AD90" s="455"/>
      <c r="AE90" s="472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70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0"/>
      <c r="AA91" s="450"/>
      <c r="AB91" s="450"/>
      <c r="AC91" s="452"/>
      <c r="AD91" s="452"/>
      <c r="AE91" s="496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7"/>
      <c r="AA92" s="453"/>
      <c r="AB92" s="453"/>
      <c r="AC92" s="468"/>
      <c r="AD92" s="455"/>
      <c r="AE92" s="472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0"/>
      <c r="AA93" s="450"/>
      <c r="AB93" s="482"/>
      <c r="AC93" s="452"/>
      <c r="AD93" s="452"/>
      <c r="AE93" s="496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F2:F1002">
      <formula1>"Luis,Jesus,Clara,Noel,Daniela,Mariadelaida,Eduardo,Alexis,Diana,Enrique,Rafael,Francisco"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