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mmary-March" sheetId="1" r:id="rId5"/>
    <sheet state="visible" name="March" sheetId="2" r:id="rId6"/>
    <sheet state="visible" name="Summary-April" sheetId="3" r:id="rId7"/>
    <sheet state="visible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tc={a2fe2231-6b63-4c43-b57c-123a5c6db590}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a2fe2231-6b63-4c43-b57c-123a5c6db590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<sst xmlns="http://schemas.openxmlformats.org/spreadsheetml/2006/main" count="8283" uniqueCount="3681">
  <si>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</si>
  <si>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</si>
  <si>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</si>
  <si>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</si>
  <si>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</si>
  <si>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</si>
  <si>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</si>
  <si>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</si>
  <si>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</si>
  <si>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</si>
  <si>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</si>
  <si>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</si>
  <si>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</si>
  <si>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</si>
  <si>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</si>
  <si>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</si>
  <si>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</si>
  <si>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</si>
  <si>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</si>
  <si>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</si>
  <si>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</si>
  <si>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</si>
  <si>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</si>
  <si>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</si>
  <si>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</si>
  <si>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</si>
  <si>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</si>
  <si>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</si>
  <si>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</si>
  <si>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</si>
  <si>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</si>
  <si>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</si>
  <si>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</si>
  <si>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</si>
  <si>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</si>
  <si>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</si>
  <si>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</si>
  <si>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</si>
  <si>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</si>
  <si>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</si>
  <si>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</si>
  <si>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</si>
  <si>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</si>
  <si>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</si>
  <si>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</si>
  <si>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</si>
  <si>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</si>
  <si>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</si>
  <si>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</si>
  <si>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</si>
  <si>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</si>
  <si>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</si>
  <si>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</si>
  <si>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</si>
  <si>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</si>
  <si>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</si>
  <si>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</si>
  <si>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</si>
  <si>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</si>
  <si>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</si>
  <si>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</si>
  <si>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</si>
  <si>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</si>
  <si>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</si>
  <si>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</si>
  <si>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</si>
  <si>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</si>
  <si>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</si>
  <si>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</si>
  <si>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</si>
  <si>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</si>
  <si>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</si>
  <si>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</si>
  <si>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</si>
  <si>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</si>
  <si>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</si>
  <si>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</si>
  <si>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</si>
  <si>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</si>
  <si>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</si>
  <si>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</si>
  <si>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</si>
  <si>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</si>
  <si>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</si>
  <si>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</si>
  <si>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</si>
  <si>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</si>
  <si>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</si>
  <si>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</si>
  <si>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</si>
  <si>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</si>
  <si>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</si>
  <si>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</si>
  <si>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</si>
  <si>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</si>
  <si>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</si>
  <si>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</si>
  <si>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</si>
  <si>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</si>
  <si>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</si>
  <si>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</si>
  <si>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</si>
  <si>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</si>
  <si>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</si>
  <si>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</si>
  <si>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</si>
  <si>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</si>
  <si>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</si>
  <si>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</si>
  <si>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</si>
  <si>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</si>
  <si>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</si>
  <si>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</si>
  <si>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</si>
  <si>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</si>
  <si>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</si>
  <si>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</si>
  <si>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</si>
  <si>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</si>
  <si>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</si>
  <si>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</si>
  <si>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</si>
  <si>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</si>
  <si>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</si>
  <si>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</si>
  <si>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</si>
  <si>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</si>
  <si>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</si>
  <si>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</si>
  <si>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</si>
  <si>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</si>
  <si>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</si>
  <si>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</si>
  <si>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</si>
  <si>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</si>
  <si>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</si>
  <si>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</si>
  <si>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</si>
  <si>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</si>
  <si>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</si>
  <si>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</si>
  <si>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</si>
  <si>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</si>
  <si>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</si>
  <si>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</si>
  <si>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</si>
  <si>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</si>
  <si>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</si>
  <si>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</si>
  <si>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</si>
  <si>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</si>
  <si>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</si>
  <si>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</si>
  <si>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</si>
  <si>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</si>
  <si>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</si>
  <si>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</si>
  <si>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</si>
  <si>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</si>
  <si>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</si>
  <si>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</si>
  <si>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</si>
  <si>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</si>
  <si>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</si>
  <si>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</si>
  <si>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</si>
  <si>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</si>
  <si>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</si>
  <si>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</si>
  <si>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</si>
  <si>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</si>
  <si>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</si>
  <si>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</si>
  <si>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</si>
  <si>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</si>
  <si>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</si>
  <si>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</si>
  <si>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</si>
  <si>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</si>
  <si>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</si>
  <si>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</si>
  <si>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</si>
  <si>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</si>
  <si>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</si>
  <si>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</si>
  <si>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</si>
  <si>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</si>
  <si>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</si>
  <si>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</si>
  <si>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</si>
  <si>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</si>
  <si>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</si>
  <si>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</si>
  <si>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</si>
  <si>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</si>
  <si>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</si>
  <si>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</si>
  <si>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</si>
  <si>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</si>
  <si>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</si>
  <si>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</si>
  <si>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</si>
  <si>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</si>
  <si>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</si>
  <si>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</si>
  <si>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</si>
  <si>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</si>
  <si>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</si>
  <si>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</si>
  <si>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</si>
  <si>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</si>
  <si>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</si>
  <si>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</si>
  <si>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</si>
  <si>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</si>
  <si>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</si>
  <si>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</si>
  <si>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</si>
  <si>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</si>
  <si>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</si>
  <si>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</si>
  <si>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</si>
  <si>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</si>
  <si>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</si>
  <si>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</si>
  <si>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</si>
  <si>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</si>
  <si>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</si>
  <si>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</si>
  <si>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</si>
  <si>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</si>
  <si>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</si>
  <si>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</si>
  <si>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</si>
  <si>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</si>
  <si>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</si>
  <si>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</si>
  <si>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</si>
  <si>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</si>
  <si>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</si>
  <si>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</si>
  <si>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</si>
  <si>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</si>
  <si>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</si>
  <si>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</si>
  <si>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</si>
  <si>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</si>
  <si>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</si>
  <si>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</si>
  <si>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</si>
  <si>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</si>
  <si>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</si>
  <si>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</si>
  <si>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</si>
  <si>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</si>
  <si>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</si>
  <si>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</si>
  <si>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</si>
  <si>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</si>
  <si>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</si>
  <si>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</si>
  <si>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</si>
  <si>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</si>
  <si>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</si>
  <si>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</si>
  <si>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</si>
  <si>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</si>
  <si>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</si>
  <si>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</si>
  <si>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</si>
  <si>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</si>
  <si>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</si>
  <si>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</si>
  <si>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</si>
  <si>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</si>
  <si>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</si>
  <si>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</si>
  <si>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</si>
  <si>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</si>
  <si>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</si>
  <si>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</si>
  <si>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</si>
  <si>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</si>
  <si>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</si>
  <si>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</si>
  <si>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</si>
  <si>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</si>
  <si>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</si>
  <si>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</si>
  <si>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</si>
  <si>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</si>
  <si>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</si>
  <si>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</si>
  <si>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</si>
  <si>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</si>
  <si>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</si>
  <si>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</si>
  <si>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</si>
  <si>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</si>
  <si>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</si>
  <si>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</si>
  <si>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</si>
  <si>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</si>
  <si>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</si>
  <si>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</si>
  <si>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</si>
  <si>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</si>
  <si>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</si>
  <si>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</si>
  <si>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</si>
  <si>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</si>
  <si>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</si>
  <si>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</si>
  <si>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</si>
  <si>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</si>
  <si>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</si>
  <si>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</si>
  <si>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</si>
  <si>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</si>
  <si>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</si>
  <si>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</si>
  <si>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</si>
  <si>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</si>
  <si>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</si>
  <si>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</si>
  <si>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</si>
  <si>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</si>
  <si>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</si>
  <si>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</si>
  <si>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</si>
  <si>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</si>
  <si>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</si>
  <si>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</si>
  <si>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</si>
  <si>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</si>
  <si>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</si>
  <si>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</si>
  <si>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</si>
  <si>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</si>
  <si>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</si>
  <si>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</si>
  <si>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</si>
  <si>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</si>
  <si>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</si>
  <si>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</si>
  <si>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</si>
  <si>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</si>
  <si>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</si>
  <si>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</si>
  <si>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</si>
  <si>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</si>
  <si>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</si>
  <si>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</si>
  <si>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</si>
  <si>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</si>
  <si>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</si>
  <si>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</si>
  <si>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</si>
  <si>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</si>
  <si>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</si>
  <si>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</si>
  <si>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</si>
  <si>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</si>
  <si>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</si>
  <si>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</si>
  <si>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</si>
  <si>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</si>
  <si>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</si>
  <si>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</si>
  <si>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</si>
  <si>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</si>
  <si>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</si>
  <si>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</si>
  <si>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</si>
  <si>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</si>
  <si>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</si>
  <si>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</si>
  <si>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</si>
  <si>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</si>
  <si>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</si>
  <si>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</si>
  <si>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</si>
  <si>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</si>
  <si>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</si>
  <si>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</si>
  <si>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</si>
  <si>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</si>
  <si>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</si>
  <si>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</si>
  <si>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</si>
  <si>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</si>
  <si>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</si>
  <si>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</si>
  <si>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</si>
  <si>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</si>
  <si>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</si>
  <si>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</si>
  <si>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</si>
  <si>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</si>
  <si>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</si>
  <si>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</si>
  <si>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</si>
  <si>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</si>
  <si>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</si>
  <si>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</si>
  <si>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</si>
  <si>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</si>
  <si>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</si>
  <si>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</si>
  <si>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</si>
  <si>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</si>
  <si>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</si>
  <si>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</si>
  <si>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</si>
  <si>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</si>
  <si>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</si>
  <si>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</si>
  <si>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</si>
  <si>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</si>
  <si>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</si>
  <si>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</si>
  <si>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</si>
  <si>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</si>
  <si>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</si>
  <si>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</si>
  <si>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</si>
  <si>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</si>
  <si>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</si>
  <si>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</si>
  <si>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</si>
  <si>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</si>
  <si>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</si>
  <si>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</si>
  <si>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</si>
  <si>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</si>
  <si>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</si>
  <si>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</si>
  <si>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</si>
  <si>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</si>
  <si>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</si>
  <si>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</si>
  <si>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</si>
  <si>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</si>
  <si>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</si>
  <si>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</si>
  <si>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</si>
  <si>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</si>
  <si>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</si>
  <si>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</si>
  <si>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</si>
  <si>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</si>
  <si>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</si>
  <si>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</si>
  <si>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</si>
  <si>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</si>
  <si>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</si>
  <si>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</si>
  <si>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</si>
  <si>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</si>
  <si>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</si>
  <si>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</si>
  <si>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</si>
  <si>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</si>
  <si>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</si>
  <si>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</si>
  <si>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</si>
  <si>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</si>
  <si>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</si>
  <si>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</si>
  <si>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</si>
  <si>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</si>
  <si>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</si>
  <si>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</si>
  <si>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</si>
  <si>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</si>
  <si>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</si>
  <si>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</si>
  <si>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</si>
  <si>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</si>
  <si>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</si>
  <si>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</si>
  <si>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</si>
  <si>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</si>
  <si>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</si>
  <si>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</si>
  <si>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</si>
  <si>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</si>
  <si>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</si>
  <si>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</si>
  <si>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</si>
  <si>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</si>
  <si>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</si>
  <si>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</si>
  <si>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</si>
  <si>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</si>
  <si>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</si>
  <si>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</si>
  <si>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</si>
  <si>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</si>
  <si>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</si>
  <si>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</si>
  <si>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</si>
  <si>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</si>
  <si>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</si>
  <si>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</si>
  <si>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</si>
  <si>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</si>
  <si>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</si>
  <si>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</si>
  <si>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</si>
  <si>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</si>
  <si>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</si>
  <si>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</si>
  <si>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</si>
  <si>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</si>
  <si>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</si>
  <si>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</si>
  <si>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</si>
  <si>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</si>
  <si>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</si>
  <si>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</si>
  <si>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</si>
  <si>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</si>
  <si>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</si>
  <si>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</si>
  <si>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</si>
  <si>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</si>
  <si>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</si>
  <si>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</si>
  <si>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</si>
  <si>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</si>
  <si>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</si>
  <si>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</si>
  <si>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</si>
  <si>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</si>
  <si>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</si>
  <si>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</si>
  <si>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</si>
  <si>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</si>
  <si>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</si>
  <si>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</si>
  <si>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</si>
  <si>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</si>
  <si>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</si>
  <si>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</si>
  <si>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</si>
  <si>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</si>
  <si>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</si>
  <si>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</si>
  <si>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</si>
  <si>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</si>
  <si>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</si>
  <si>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</si>
  <si>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</si>
  <si>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</si>
  <si>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</si>
  <si>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</si>
  <si>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</si>
  <si>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</si>
  <si>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</si>
  <si>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</si>
  <si>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</si>
  <si>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</si>
  <si>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</si>
  <si>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</si>
  <si>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</si>
  <si>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</si>
  <si>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</si>
  <si>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</si>
  <si>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</si>
  <si>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</si>
  <si>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</si>
  <si>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</si>
  <si>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</si>
  <si>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</si>
  <si>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</si>
  <si>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</si>
  <si>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</si>
  <si>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</si>
  <si>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</si>
  <si>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</si>
  <si>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</si>
  <si>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</si>
  <si>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</si>
  <si>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</si>
  <si>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</si>
  <si>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</si>
  <si>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</si>
  <si>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</si>
  <si>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</si>
  <si>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</si>
  <si>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</si>
  <si>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</si>
  <si>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</si>
  <si>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</si>
  <si>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</si>
  <si>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</si>
  <si>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</si>
  <si>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</si>
  <si>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</si>
  <si>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</si>
  <si>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</si>
  <si>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</si>
  <si>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</si>
  <si>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</si>
  <si>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</si>
  <si>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</si>
  <si>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</si>
  <si>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</si>
  <si>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</si>
  <si>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</si>
  <si>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</si>
  <si>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</si>
  <si>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</si>
  <si>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</si>
  <si>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</si>
  <si>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</si>
  <si>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</si>
  <si>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</si>
  <si>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</si>
  <si>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</si>
  <si>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</si>
  <si>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</si>
  <si>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</si>
  <si>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</si>
  <si>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</si>
  <si>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</si>
  <si>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</si>
  <si>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</si>
  <si>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</si>
  <si>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</si>
  <si>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</si>
  <si>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</si>
  <si>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</si>
  <si>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</si>
  <si>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</si>
  <si>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</si>
  <si>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</si>
  <si>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</si>
  <si>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</si>
  <si>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</si>
  <si>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</si>
  <si>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</si>
  <si>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</si>
  <si>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</si>
  <si>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</si>
  <si>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</si>
  <si>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</si>
  <si>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</si>
  <si>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</si>
  <si>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</si>
  <si>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</si>
  <si>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</si>
  <si>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</si>
  <si>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</si>
  <si>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</si>
  <si>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</si>
  <si>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</si>
  <si>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</si>
  <si>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</si>
  <si>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</si>
  <si>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</si>
  <si>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</si>
  <si>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</si>
  <si>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</si>
  <si>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</si>
  <si>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</si>
  <si>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</si>
  <si>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</si>
  <si>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</si>
  <si>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</si>
  <si>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</si>
  <si>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</si>
  <si>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</si>
  <si>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</si>
  <si>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</si>
  <si>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</si>
  <si>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</si>
  <si>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</si>
  <si>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</si>
  <si>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</si>
  <si>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</si>
  <si>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</si>
  <si>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</si>
  <si>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</si>
  <si>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</si>
  <si>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</si>
  <si>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</si>
  <si>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</si>
  <si>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</si>
  <si>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</si>
  <si>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</si>
  <si>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</si>
  <si>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</si>
  <si>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</si>
  <si>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</si>
  <si>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</si>
  <si>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</si>
  <si>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</si>
  <si>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</si>
  <si>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</si>
  <si>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</si>
  <si>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</si>
  <si>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</si>
  <si>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</si>
  <si>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</si>
  <si>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</si>
  <si>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</si>
  <si>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</si>
  <si>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</si>
  <si>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</si>
  <si>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</si>
  <si>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</si>
  <si>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</si>
  <si>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</si>
  <si>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</si>
  <si>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</si>
  <si>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</si>
  <si>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</si>
  <si>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</si>
  <si>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</si>
  <si>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</si>
  <si>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</si>
  <si>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</si>
  <si>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</si>
  <si>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</si>
  <si>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</si>
  <si>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</si>
  <si>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</si>
  <si>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</si>
  <si>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</si>
  <si>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</si>
  <si>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</si>
  <si>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</si>
  <si>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</si>
  <si>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</si>
  <si>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</si>
  <si>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</si>
  <si>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</si>
  <si>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</si>
  <si>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</si>
  <si>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</si>
  <si>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</si>
  <si>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</si>
  <si>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</si>
  <si>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</si>
  <si>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</si>
  <si>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</si>
  <si>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</si>
  <si>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</si>
  <si>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</si>
  <si>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</si>
  <si>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</si>
  <si>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</si>
  <si>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</si>
  <si>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</si>
  <si>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</si>
  <si>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</si>
  <si>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</si>
  <si>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</si>
  <si>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</si>
  <si>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</si>
  <si>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</si>
  <si>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</si>
  <si>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</si>
  <si>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</si>
  <si>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</si>
  <si>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</si>
  <si>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</si>
  <si>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</si>
  <si>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</si>
  <si>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</si>
  <si>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</si>
  <si>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</si>
  <si>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</si>
  <si>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</si>
  <si>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</si>
  <si>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</si>
  <si>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</si>
  <si>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</si>
  <si>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</si>
  <si>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</si>
  <si>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</si>
  <si>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</si>
  <si>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</si>
  <si>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</si>
  <si>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</si>
  <si>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</si>
  <si>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</si>
  <si>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</si>
  <si>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</si>
  <si>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</si>
  <si>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</si>
  <si>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</si>
  <si>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</si>
  <si>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</si>
  <si>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</si>
  <si>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</si>
  <si>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</si>
  <si>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</si>
  <si>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</si>
  <si>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</si>
  <si>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</si>
  <si>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</si>
  <si>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</si>
  <si>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</si>
  <si>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</si>
  <si>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</si>
  <si>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</si>
  <si>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</si>
  <si>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</si>
  <si>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</si>
  <si>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</si>
  <si>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</si>
  <si>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</si>
  <si>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</si>
  <si>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</si>
  <si>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</si>
  <si>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</si>
  <si>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</si>
  <si>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</si>
  <si>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</si>
  <si>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</si>
  <si>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</si>
  <si>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</si>
  <si>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</si>
  <si>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</si>
  <si>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</si>
  <si>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</si>
  <si>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</si>
  <si>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</si>
  <si>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</si>
  <si>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</si>
  <si>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</si>
  <si>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</si>
  <si>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</si>
  <si>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</si>
  <si>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</si>
  <si>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</si>
  <si>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</si>
  <si>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</si>
  <si>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</si>
  <si>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</si>
  <si>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</si>
  <si>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</si>
  <si>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</si>
  <si>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</si>
  <si>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</si>
  <si>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</si>
  <si>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</si>
  <si>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</si>
  <si>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</si>
  <si>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</si>
  <si>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</si>
  <si>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</si>
  <si>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</si>
  <si>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</si>
  <si>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</si>
  <si>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</si>
  <si>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</si>
  <si>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</si>
  <si>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</si>
  <si>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</si>
  <si>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</si>
  <si>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</si>
  <si>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</si>
  <si>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</si>
  <si>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</si>
  <si>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</si>
  <si>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</si>
  <si>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</si>
  <si>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</si>
  <si>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</si>
  <si>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</si>
  <si>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</si>
  <si>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</si>
  <si>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</si>
  <si>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</si>
  <si>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</si>
  <si>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</si>
  <si>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</si>
  <si>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</si>
  <si>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</si>
  <si>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</si>
  <si>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</si>
  <si>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</si>
  <si>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</si>
  <si>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</si>
  <si>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</si>
  <si>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</si>
  <si>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</si>
  <si>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</si>
  <si>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</si>
  <si>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</si>
  <si>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</si>
  <si>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</si>
  <si>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</si>
  <si>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</si>
  <si>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</si>
  <si>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</si>
  <si>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</si>
  <si>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</si>
  <si>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</si>
  <si>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</si>
  <si>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</si>
  <si>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</si>
  <si>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</si>
  <si>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</si>
  <si>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</si>
  <si>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</si>
  <si>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</si>
  <si>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</si>
  <si>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</si>
  <si>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</si>
  <si>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</si>
  <si>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</si>
  <si>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</si>
  <si>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</si>
  <si>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</si>
  <si>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</si>
  <si>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</si>
  <si>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</si>
  <si>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</si>
  <si>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</si>
  <si>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</si>
  <si>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</si>
  <si>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</si>
  <si>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</si>
  <si>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</si>
  <si>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</si>
  <si>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</si>
  <si>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</si>
  <si>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</si>
  <si>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</si>
  <si>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</si>
  <si>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</si>
  <si>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</si>
  <si>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</si>
  <si>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</si>
  <si>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</si>
  <si>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</si>
  <si>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</si>
  <si>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</si>
  <si>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</si>
  <si>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</si>
  <si>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</si>
  <si>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</si>
  <si>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</si>
  <si>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</si>
  <si>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</si>
  <si>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</si>
  <si>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</si>
  <si>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</si>
  <si>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</si>
  <si>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</si>
  <si>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</si>
  <si>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</si>
  <si>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</si>
  <si>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</si>
  <si>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</si>
  <si>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</si>
  <si>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</si>
  <si>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</si>
  <si>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</si>
  <si>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</si>
  <si>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</si>
  <si>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</si>
  <si>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</si>
  <si>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</si>
  <si>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</si>
  <si>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</si>
  <si>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</si>
  <si>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</si>
  <si>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</si>
  <si>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</si>
  <si>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</si>
  <si>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</si>
  <si>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</si>
  <si>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</si>
  <si>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</si>
  <si>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</si>
  <si>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</si>
  <si>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</si>
  <si>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</si>
  <si>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</si>
  <si>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</si>
  <si>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</si>
  <si>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</si>
  <si>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</si>
  <si>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</si>
  <si>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</si>
  <si>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</si>
  <si>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</si>
  <si>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</si>
  <si>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</si>
  <si>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</si>
  <si>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</si>
  <si>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</si>
  <si>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</si>
  <si>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</si>
  <si>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</si>
  <si>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</si>
  <si>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</si>
  <si>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</si>
  <si>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</si>
  <si>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</si>
  <si>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</si>
  <si>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</si>
  <si>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</si>
  <si>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</si>
  <si>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</si>
  <si>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</si>
  <si>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</si>
  <si>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</si>
  <si>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</si>
  <si>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</si>
  <si>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</si>
  <si>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</si>
  <si>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</si>
  <si>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</si>
  <si>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</si>
  <si>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</si>
  <si>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</si>
  <si>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</si>
  <si>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</si>
  <si>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</si>
  <si>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</si>
  <si>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</si>
  <si>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</si>
  <si>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</si>
  <si>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</si>
  <si>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</si>
  <si>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</si>
  <si>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</si>
  <si>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</si>
  <si>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</si>
  <si>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</si>
  <si>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</si>
  <si>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</si>
  <si>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</si>
  <si>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</si>
  <si>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</si>
  <si>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</si>
  <si>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</si>
  <si>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</si>
  <si>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</si>
  <si>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</si>
  <si>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</si>
  <si>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</si>
  <si>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</si>
  <si>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</si>
  <si>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</si>
  <si>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</si>
  <si>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</si>
  <si>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</si>
  <si>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</si>
  <si>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</si>
  <si>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</si>
  <si>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</si>
  <si>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</si>
  <si>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</si>
  <si>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</si>
  <si>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</si>
  <si>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</si>
  <si>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</si>
  <si>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</si>
  <si>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</si>
  <si>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</si>
  <si>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</si>
  <si>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</si>
  <si>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</si>
  <si>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</si>
  <si>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</si>
  <si>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</si>
  <si>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</si>
  <si>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</si>
  <si>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</si>
  <si>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</si>
  <si>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</si>
  <si>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</si>
  <si>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</si>
  <si>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</si>
  <si>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</si>
  <si>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</si>
  <si>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</si>
  <si>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</si>
  <si>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</si>
  <si>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</si>
  <si>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</si>
  <si>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</si>
  <si>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</si>
  <si>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</si>
  <si>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</si>
  <si>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</si>
  <si>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</si>
  <si>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</si>
  <si>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</si>
  <si>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</si>
  <si>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</si>
  <si>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</si>
  <si>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</si>
  <si>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</si>
  <si>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</si>
  <si>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</si>
  <si>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</si>
  <si>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</si>
  <si>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</si>
  <si>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</si>
  <si>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</si>
  <si>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</si>
  <si>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</si>
  <si>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</si>
  <si>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</si>
  <si>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</si>
  <si>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</si>
  <si>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</si>
  <si>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</si>
  <si>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</si>
  <si>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</si>
  <si>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</si>
  <si>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</si>
  <si>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</si>
  <si>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</si>
  <si>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</si>
  <si>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</si>
  <si>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</si>
  <si>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</si>
  <si>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</si>
  <si>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</si>
  <si>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</si>
  <si>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</si>
  <si>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</si>
  <si>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</si>
  <si>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</si>
  <si>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</si>
  <si>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</si>
  <si>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</si>
  <si>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</si>
  <si>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</si>
  <si>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</si>
  <si>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</si>
  <si>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</si>
  <si>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</si>
  <si>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</si>
  <si>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</si>
  <si>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</si>
  <si>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</si>
  <si>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</si>
  <si>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</si>
  <si>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</si>
  <si>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</si>
  <si>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</si>
  <si>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</si>
  <si>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</si>
  <si>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</si>
  <si>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</si>
  <si>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</si>
  <si>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</si>
  <si>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</si>
  <si>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</si>
  <si>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</si>
  <si>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</si>
  <si>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</si>
  <si>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</si>
  <si>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</si>
  <si>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</si>
  <si>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</si>
  <si>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</si>
  <si>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</si>
  <si>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</si>
  <si>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</si>
  <si>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</si>
  <si>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</si>
  <si>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</si>
  <si>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</si>
  <si>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</si>
  <si>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</si>
  <si>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</si>
  <si>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</si>
  <si>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</si>
  <si>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</si>
  <si>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</si>
  <si>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</si>
  <si>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</si>
  <si>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</si>
  <si>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</si>
  <si>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</si>
  <si>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</si>
  <si>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</si>
  <si>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</si>
  <si>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</si>
  <si>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</si>
  <si>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</si>
  <si>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</si>
  <si>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</si>
  <si>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</si>
  <si>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</si>
  <si>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</si>
  <si>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</si>
  <si>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</si>
  <si>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</si>
  <si>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</si>
  <si>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</si>
  <si>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</si>
  <si>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</si>
  <si>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</si>
  <si>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</si>
  <si>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</si>
  <si>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</si>
  <si>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</si>
  <si>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</si>
  <si>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</si>
  <si>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</si>
  <si>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</si>
  <si>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</si>
  <si>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</si>
  <si>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</si>
  <si>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</si>
  <si>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</si>
  <si>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</si>
  <si>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</si>
  <si>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</si>
  <si>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</si>
  <si>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</si>
  <si>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</si>
  <si>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</si>
  <si>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</si>
  <si>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</si>
  <si>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</si>
  <si>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</si>
  <si>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</si>
  <si>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</si>
  <si>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</si>
  <si>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</si>
  <si>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</si>
  <si>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</si>
  <si>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</si>
  <si>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</si>
  <si>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</si>
  <si>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</si>
  <si>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</si>
  <si>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</si>
  <si>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</si>
  <si>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</si>
  <si>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</si>
  <si>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</si>
  <si>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</si>
  <si>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</si>
  <si>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</si>
  <si>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</si>
  <si>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</si>
  <si>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</si>
  <si>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</si>
  <si>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</si>
  <si>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</si>
  <si>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</si>
  <si>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</si>
  <si>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</si>
  <si>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</si>
  <si>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</si>
  <si>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</si>
  <si>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</si>
  <si>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</si>
  <si>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</si>
  <si>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</si>
  <si>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</si>
  <si>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</si>
  <si>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</si>
  <si>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</si>
  <si>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</si>
  <si>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</si>
  <si>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</si>
  <si>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</si>
  <si>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</si>
  <si>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</si>
  <si>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</si>
  <si>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</si>
  <si>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</si>
  <si>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</si>
  <si>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</si>
  <si>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</si>
  <si>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</si>
  <si>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</si>
  <si>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</si>
  <si>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</si>
  <si>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</si>
  <si>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</si>
  <si>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</si>
  <si>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</si>
  <si>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</si>
  <si>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</si>
  <si>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</si>
  <si>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</si>
  <si>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</si>
  <si>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</si>
  <si>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</si>
  <si>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</si>
  <si>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</si>
  <si>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</si>
  <si>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</si>
  <si>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</si>
  <si>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</si>
  <si>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</si>
  <si>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</si>
  <si>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</si>
  <si>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</si>
  <si>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</si>
  <si>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</si>
  <si>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</si>
  <si>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</si>
  <si>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</si>
  <si>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</si>
  <si>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</si>
  <si>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</si>
  <si>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</si>
  <si>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</si>
  <si>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</si>
  <si>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</si>
  <si>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</si>
  <si>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</si>
  <si>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</si>
  <si>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</si>
  <si>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</si>
  <si>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</si>
  <si>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</si>
  <si>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</si>
  <si>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</si>
  <si>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</si>
  <si>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</si>
  <si>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</si>
  <si>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</si>
  <si>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</si>
  <si>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</si>
  <si>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</si>
  <si>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</si>
  <si>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</si>
  <si>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</si>
  <si>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</si>
  <si>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</si>
  <si>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</si>
  <si>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</si>
  <si>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</si>
  <si>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</si>
  <si>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</si>
  <si>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</si>
  <si>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</si>
  <si>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</si>
  <si>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</si>
  <si>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</si>
  <si>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</si>
  <si>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</si>
  <si>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</si>
  <si>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</si>
  <si>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</si>
  <si>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</si>
  <si>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</si>
  <si>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</si>
  <si>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</si>
  <si>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</si>
  <si>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</si>
  <si>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</si>
  <si>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</si>
  <si>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</si>
  <si>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</si>
  <si>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</si>
  <si>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</si>
  <si>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</si>
  <si>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</si>
  <si>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</si>
  <si>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</si>
  <si>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</si>
  <si>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</si>
  <si>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</si>
  <si>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</si>
  <si>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</si>
  <si>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</si>
  <si>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</si>
  <si>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</si>
  <si>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</si>
  <si>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</si>
  <si>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</si>
  <si>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</si>
  <si>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</si>
  <si>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</si>
  <si>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</si>
  <si>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</si>
  <si>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</si>
  <si>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</si>
  <si>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</si>
  <si>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</si>
  <si>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</si>
  <si>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</si>
  <si>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</si>
  <si>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</si>
  <si>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</si>
  <si>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</si>
  <si>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</si>
  <si>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</si>
  <si>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</si>
  <si>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</si>
  <si>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</si>
  <si>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</si>
  <si>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</si>
  <si>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</si>
  <si>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</si>
  <si>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</si>
  <si>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</si>
  <si>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</si>
  <si>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</si>
  <si>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</si>
  <si>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</si>
  <si>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</si>
  <si>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</si>
  <si>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</si>
  <si>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</si>
  <si>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</si>
  <si>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</si>
  <si>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</si>
  <si>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</si>
  <si>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</si>
  <si>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</si>
  <si>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</si>
  <si>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</si>
  <si>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</si>
  <si>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</si>
  <si>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</si>
  <si>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</si>
  <si>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</si>
  <si>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</si>
  <si>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</si>
  <si>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</si>
  <si>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</si>
  <si>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</si>
  <si>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</si>
  <si>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</si>
  <si>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</si>
  <si>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</si>
  <si>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</si>
  <si>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</si>
  <si>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</si>
  <si>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</si>
  <si>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</si>
  <si>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</si>
  <si>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</si>
  <si>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</si>
  <si>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</si>
  <si>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</si>
  <si>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</si>
  <si>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</si>
  <si>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</si>
  <si>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</si>
  <si>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</si>
  <si>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</si>
  <si>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</si>
  <si>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</si>
  <si>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</si>
  <si>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</si>
  <si>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</si>
  <si>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</si>
  <si>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</si>
  <si>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</si>
  <si>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</si>
  <si>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</si>
  <si>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</si>
  <si>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</si>
  <si>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</si>
  <si>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</si>
  <si>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</si>
  <si>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</si>
  <si>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</si>
  <si>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</si>
  <si>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</si>
  <si>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</si>
  <si>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</si>
  <si>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</si>
  <si>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</si>
  <si>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</si>
  <si>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</si>
  <si>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</si>
  <si>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</si>
  <si>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</si>
  <si>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</si>
  <si>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</si>
  <si>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</si>
  <si>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</si>
  <si>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</si>
  <si>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</si>
  <si>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</si>
  <si>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</si>
  <si>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</si>
  <si>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</si>
  <si>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</si>
  <si>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</si>
  <si>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</si>
  <si>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</si>
  <si>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</si>
  <si>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</si>
  <si>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</si>
  <si>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</si>
  <si>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</si>
  <si>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</si>
  <si>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</si>
  <si>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</si>
  <si>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</si>
  <si>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</si>
  <si>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</si>
  <si>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</si>
  <si>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</si>
  <si>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</si>
  <si>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</si>
  <si>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</si>
  <si>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</si>
  <si>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</si>
  <si>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</si>
  <si>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</si>
  <si>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</si>
  <si>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</si>
  <si>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</si>
  <si>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</si>
  <si>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</si>
  <si>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</si>
  <si>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</si>
  <si>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</si>
  <si>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</si>
  <si>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</si>
  <si>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</si>
  <si>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</si>
  <si>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</si>
  <si>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</si>
  <si>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</si>
  <si>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</si>
  <si>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</si>
  <si>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</si>
  <si>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</si>
  <si>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</si>
  <si>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</si>
  <si>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</si>
  <si>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</si>
  <si>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</si>
  <si>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</si>
  <si>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</si>
  <si>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</si>
  <si>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</si>
  <si>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</si>
  <si>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</si>
  <si>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</si>
  <si>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</si>
  <si>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</si>
  <si>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</si>
  <si>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</si>
  <si>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</si>
  <si>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</si>
  <si>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</si>
  <si>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</si>
  <si>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</si>
  <si>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</si>
  <si>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</si>
  <si>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</si>
  <si>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</si>
  <si>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</si>
  <si>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</si>
  <si>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</si>
  <si>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</si>
  <si>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</si>
  <si>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</si>
  <si>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</si>
  <si>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</si>
  <si>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</si>
  <si>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</si>
  <si>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</si>
  <si>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</si>
  <si>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</si>
  <si>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</si>
  <si>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</si>
  <si>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</si>
  <si>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</si>
  <si>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</si>
  <si>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</si>
  <si>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</si>
  <si>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</si>
  <si>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</si>
  <si>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</si>
  <si>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</si>
  <si>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</si>
  <si>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</si>
  <si>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</si>
  <si>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</si>
  <si>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</si>
  <si>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</si>
  <si>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</si>
  <si>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</si>
  <si>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</si>
  <si>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</si>
  <si>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</si>
  <si>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</si>
  <si>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</si>
  <si>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</si>
  <si>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</si>
  <si>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</si>
  <si>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</si>
  <si>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</si>
  <si>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</si>
  <si>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</si>
  <si>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</si>
  <si>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</si>
  <si>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</si>
  <si>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</si>
  <si>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</si>
  <si>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</si>
  <si>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</si>
  <si>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</si>
  <si>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</si>
  <si>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</si>
  <si>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</si>
  <si>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</si>
  <si>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</si>
  <si>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</si>
  <si>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</si>
  <si>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</si>
  <si>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</si>
  <si>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</si>
  <si>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</si>
  <si>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</si>
  <si>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</si>
  <si>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</si>
  <si>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</si>
  <si>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</si>
  <si>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</si>
  <si>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</si>
  <si>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</si>
  <si>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</si>
  <si>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</si>
  <si>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</si>
  <si>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</si>
  <si>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</si>
  <si>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</si>
  <si>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</si>
  <si>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</si>
  <si>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</si>
  <si>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</si>
  <si>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</si>
  <si>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</si>
  <si>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</si>
  <si>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</si>
  <si>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</si>
  <si>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</si>
  <si>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</si>
  <si>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</si>
  <si>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</si>
  <si>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</si>
  <si>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</si>
  <si>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</si>
  <si>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</si>
  <si>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</si>
  <si>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</si>
  <si>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</si>
  <si>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</si>
  <si>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</si>
  <si>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</si>
  <si>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</si>
  <si>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</si>
  <si>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</si>
  <si>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</si>
  <si>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</si>
  <si>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</si>
  <si>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</si>
  <si>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</si>
  <si>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</si>
  <si>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</si>
  <si>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</si>
  <si>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</si>
  <si>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</si>
  <si>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</si>
  <si>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</si>
  <si>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</si>
  <si>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</si>
  <si>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</si>
  <si>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</si>
  <si>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</si>
  <si>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</si>
  <si>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</si>
  <si>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</si>
  <si>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</si>
  <si>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</si>
  <si>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</si>
  <si>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</si>
  <si>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</si>
  <si>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</si>
  <si>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</si>
  <si>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</si>
  <si>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</si>
  <si>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</si>
  <si>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</si>
  <si>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</si>
  <si>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</si>
  <si>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</si>
  <si>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</si>
  <si>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</si>
  <si>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</si>
  <si>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</si>
  <si>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</si>
  <si>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</si>
  <si>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</si>
  <si>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</si>
  <si>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</si>
  <si>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</si>
  <si>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</si>
  <si>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</si>
  <si>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</si>
  <si>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</si>
  <si>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</si>
  <si>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</si>
  <si>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</si>
  <si>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</si>
  <si>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</si>
  <si>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</si>
  <si>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</si>
  <si>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</si>
  <si>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</si>
  <si>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</si>
  <si>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</si>
  <si>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</si>
  <si>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</si>
  <si>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</si>
  <si>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</si>
  <si>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</si>
  <si>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</si>
  <si>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</si>
  <si>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</si>
  <si>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</si>
  <si>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</si>
  <si>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</si>
  <si>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</si>
  <si>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</si>
  <si>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</si>
  <si>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</si>
  <si>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</si>
  <si>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</si>
  <si>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</si>
  <si>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</si>
  <si>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</si>
  <si>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</si>
  <si>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</si>
  <si>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</si>
  <si>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</si>
  <si>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</si>
  <si>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</si>
  <si>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</si>
  <si>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</si>
  <si>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</si>
  <si>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</si>
  <si>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</si>
  <si>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</si>
  <si>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</si>
  <si>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</si>
  <si>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</si>
  <si>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</si>
  <si>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</si>
  <si>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</si>
  <si>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</si>
  <si>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</si>
  <si>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</si>
  <si>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</si>
  <si>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</si>
  <si>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</si>
  <si>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</si>
  <si>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</si>
  <si>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</si>
  <si>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</si>
  <si>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</si>
  <si>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</si>
  <si>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</si>
  <si>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</si>
  <si>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</si>
  <si>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</si>
  <si>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</si>
  <si>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</si>
  <si>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</si>
  <si>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</si>
  <si>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</si>
  <si>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</si>
  <si>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</si>
  <si>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</si>
  <si>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</si>
  <si>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</si>
  <si>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</si>
  <si>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</si>
  <si>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</si>
  <si>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</si>
  <si>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</si>
  <si>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</si>
  <si>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</si>
  <si>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</si>
  <si>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</si>
  <si>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</si>
  <si>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</si>
  <si>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</si>
  <si>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</si>
  <si>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</si>
  <si>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</si>
  <si>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</si>
  <si>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</si>
  <si>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</si>
  <si>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</si>
  <si>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</si>
  <si>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</si>
  <si>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</si>
  <si>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</si>
  <si>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</si>
  <si>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</si>
  <si>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</si>
  <si>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</si>
  <si>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</si>
  <si>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</si>
  <si>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</si>
  <si>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</si>
  <si>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</si>
  <si>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</si>
  <si>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</si>
  <si>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</si>
  <si>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</si>
  <si>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</si>
  <si>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</si>
  <si>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</si>
  <si>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</si>
  <si>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</si>
  <si>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</si>
  <si>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</si>
  <si>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</si>
  <si>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</si>
  <si>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</si>
  <si>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</si>
  <si>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</si>
  <si>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</si>
  <si>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</si>
  <si>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</si>
  <si>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</si>
  <si>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</si>
  <si>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</si>
  <si>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</si>
  <si>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</si>
  <si>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</si>
  <si>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</si>
  <si>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</si>
  <si>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</si>
  <si>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</si>
  <si>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</si>
  <si>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</si>
  <si>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</si>
  <si>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</si>
  <si>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</si>
  <si>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</si>
  <si>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</si>
  <si>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</si>
  <si>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</si>
  <si>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</si>
  <si>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</si>
  <si>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</si>
  <si>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</si>
  <si>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</si>
  <si>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</si>
  <si>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</si>
  <si>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</si>
  <si>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</si>
  <si>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</si>
  <si>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</si>
  <si>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</si>
  <si>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</si>
  <si>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</si>
  <si>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</si>
  <si>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</si>
  <si>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</si>
  <si>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</si>
  <si>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</si>
  <si>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</si>
  <si>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</si>
  <si>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</si>
  <si>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</si>
  <si>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</si>
  <si>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</si>
  <si>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</si>
  <si>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</si>
  <si>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</si>
  <si>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</si>
  <si>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</si>
  <si>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</si>
  <si>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</si>
  <si>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</si>
  <si>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</si>
  <si>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</si>
  <si>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</si>
  <si>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</si>
  <si>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</si>
  <si>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</si>
  <si>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</si>
  <si>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</si>
  <si>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</si>
  <si>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</si>
  <si>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</si>
  <si>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</si>
  <si>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</si>
  <si>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</si>
  <si>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</si>
  <si>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</si>
  <si>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</si>
  <si>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</si>
  <si>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</si>
  <si>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</si>
  <si>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</si>
  <si>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</si>
  <si>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</si>
  <si>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</si>
  <si>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</si>
  <si>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</si>
  <si>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</si>
  <si>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</si>
  <si>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</si>
  <si>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</si>
  <si>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</si>
  <si>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</si>
  <si>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</si>
  <si>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</si>
  <si>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</si>
  <si>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</si>
  <si>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</si>
  <si>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</si>
  <si>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</si>
  <si>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</si>
  <si>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</si>
  <si>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</si>
  <si>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</si>
  <si>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</si>
  <si>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</si>
  <si>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</si>
  <si>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</si>
  <si>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</si>
  <si>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</si>
  <si>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</si>
  <si>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</si>
  <si>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</si>
  <si>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</si>
  <si>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</si>
  <si>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</si>
  <si>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</si>
  <si>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</si>
  <si>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</si>
  <si>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</si>
  <si>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</si>
  <si>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</si>
  <si>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</si>
  <si>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</si>
  <si>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</si>
  <si>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</si>
  <si>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</si>
  <si>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</si>
  <si>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</si>
  <si>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</si>
  <si>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</si>
  <si>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</si>
  <si>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</si>
  <si>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</si>
  <si>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</si>
  <si>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</si>
  <si>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</si>
  <si>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</si>
  <si>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</si>
  <si>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</si>
  <si>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</si>
  <si>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</si>
  <si>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</si>
  <si>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</si>
  <si>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</si>
  <si>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</si>
  <si>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</si>
  <si>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</si>
  <si>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</si>
  <si>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</si>
  <si>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</si>
  <si>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</si>
  <si>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</si>
  <si>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</si>
  <si>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</si>
  <si>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</si>
  <si>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</si>
  <si>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</si>
  <si>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</si>
  <si>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</si>
  <si>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</si>
  <si>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</si>
  <si>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</si>
  <si>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</si>
  <si>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</si>
  <si>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</si>
  <si>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</si>
  <si>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</si>
  <si>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</si>
  <si>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</si>
  <si>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</si>
  <si>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</si>
  <si>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</si>
  <si>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</si>
  <si>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</si>
  <si>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</si>
  <si>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</si>
  <si>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</si>
  <si>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</si>
  <si>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</si>
  <si>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</si>
  <si>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</si>
  <si>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</si>
  <si>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</si>
  <si>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</si>
  <si>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</si>
  <si>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</si>
  <si>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</si>
  <si>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</si>
  <si>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</si>
  <si>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</si>
  <si>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</si>
  <si>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</si>
  <si>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</si>
  <si>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</si>
  <si>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</si>
  <si>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</si>
  <si>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</si>
  <si>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</si>
  <si>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</si>
  <si>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</si>
  <si>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</si>
  <si>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</si>
  <si>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</si>
  <si>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</si>
  <si>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</si>
  <si>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</si>
  <si>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</si>
  <si>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</si>
  <si>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</si>
  <si>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</si>
  <si>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</si>
  <si>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</si>
  <si>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</si>
  <si>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</si>
  <si>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</si>
  <si>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</si>
  <si>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</si>
  <si>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</si>
  <si>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</si>
  <si>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</si>
  <si>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</si>
  <si>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</si>
  <si>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</si>
  <si>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</si>
  <si>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</si>
  <si>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</si>
  <si>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</si>
  <si>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</si>
  <si>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</si>
  <si>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</si>
  <si>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</si>
  <si>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</si>
  <si>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</si>
  <si>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</si>
  <si>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</si>
  <si>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</si>
  <si>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</si>
  <si>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</si>
  <si>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</si>
  <si>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</si>
  <si>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</si>
  <si>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</si>
  <si>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</si>
  <si>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</si>
  <si>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</si>
  <si>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</si>
  <si>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</si>
  <si>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</si>
  <si>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</si>
  <si>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</si>
  <si>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</si>
  <si>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</si>
  <si>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</si>
  <si>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</si>
  <si>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</si>
  <si>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</si>
  <si>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</si>
  <si>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</si>
  <si>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</si>
  <si>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</si>
  <si>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</si>
  <si>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</si>
  <si>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</si>
  <si>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</si>
  <si>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</si>
  <si>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</si>
  <si>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</si>
  <si>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</si>
  <si>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</si>
  <si>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</si>
  <si>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</si>
  <si>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</si>
  <si>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</si>
  <si>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</si>
  <si>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</si>
  <si>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</si>
  <si>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</si>
  <si>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</si>
  <si>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</si>
  <si>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</si>
  <si>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</si>
  <si>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</si>
  <si>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</si>
  <si>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</si>
  <si>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</si>
  <si>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</si>
  <si>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</si>
  <si>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</si>
  <si>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</si>
  <si>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</si>
  <si>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</si>
  <si>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</si>
  <si>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</si>
  <si>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</si>
  <si>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</si>
  <si>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</si>
  <si>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</si>
  <si>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</si>
  <si>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</si>
  <si>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</si>
  <si>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</si>
  <si>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</si>
  <si>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</si>
  <si>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</si>
  <si>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</si>
  <si>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</si>
  <si>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</si>
  <si>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</si>
  <si>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</si>
  <si>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</si>
  <si>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</si>
  <si>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</si>
  <si>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</si>
  <si>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</si>
  <si>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</si>
  <si>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</si>
  <si>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</si>
  <si>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</si>
  <si>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</si>
  <si>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</si>
  <si>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</si>
  <si>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</si>
  <si>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</si>
  <si>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</si>
  <si>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</si>
  <si>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</si>
  <si>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</si>
  <si>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</si>
  <si>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</si>
  <si>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</si>
  <si>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</si>
  <si>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</si>
  <si>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</si>
  <si>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</si>
  <si>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</si>
  <si>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</si>
  <si>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</si>
  <si>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</si>
  <si>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</si>
  <si>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</si>
  <si>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</si>
  <si>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</si>
  <si>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</si>
  <si>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</si>
  <si>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</si>
  <si>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</si>
  <si>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</si>
  <si>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</si>
  <si>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</si>
  <si>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</si>
  <si>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</si>
  <si>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</si>
  <si>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</si>
  <si>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</si>
  <si>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</si>
  <si>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</si>
  <si>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</si>
  <si>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</si>
  <si>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</si>
  <si>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</si>
  <si>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</si>
  <si>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</si>
  <si>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</si>
  <si>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</si>
  <si>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</si>
  <si>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</si>
  <si>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</si>
  <si>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</si>
  <si>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</si>
  <si>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</si>
  <si>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</si>
  <si>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</si>
  <si>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</si>
  <si>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</si>
  <si>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</si>
  <si>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</si>
  <si>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</si>
  <si>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</si>
  <si>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</si>
  <si>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</si>
  <si>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</si>
  <si>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</si>
  <si>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</si>
  <si>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</si>
  <si>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</si>
  <si>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</si>
  <si>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</si>
  <si>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</si>
  <si>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</si>
  <si>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</si>
  <si>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</si>
  <si>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</si>
  <si>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</si>
  <si>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</si>
  <si>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</si>
  <si>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</si>
  <si>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</si>
  <si>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</si>
  <si>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</si>
  <si>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</si>
  <si>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</si>
  <si>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</si>
  <si>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</si>
  <si>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</si>
  <si>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</si>
  <si>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</si>
  <si>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</si>
  <si>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</si>
  <si>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</si>
  <si>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</si>
  <si>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</si>
  <si>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</si>
  <si>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</si>
  <si>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</si>
  <si>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</si>
  <si>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</si>
  <si>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</si>
  <si>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</si>
  <si>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</si>
  <si>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</si>
  <si>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</si>
  <si>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</si>
  <si>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</si>
  <si>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</si>
  <si>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</si>
  <si>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</si>
  <si>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</si>
  <si>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</si>
  <si>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</si>
  <si>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</si>
  <si>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</si>
  <si>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</si>
  <si>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</si>
  <si>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</si>
  <si>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</si>
  <si>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</si>
  <si>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</si>
  <si>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</si>
  <si>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</si>
  <si>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</si>
  <si>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</si>
  <si>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</si>
  <si>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</si>
  <si>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</si>
  <si>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</si>
  <si>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</si>
  <si>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</si>
  <si>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</si>
  <si>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</si>
  <si>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</si>
  <si>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</si>
  <si>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</si>
  <si>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</si>
  <si>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</si>
  <si>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</si>
  <si>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</si>
  <si>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</si>
  <si>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</si>
  <si>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</si>
  <si>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</si>
  <si>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</si>
  <si>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</si>
  <si>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</si>
  <si>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</si>
  <si>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</si>
  <si>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</si>
  <si>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</si>
  <si>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</si>
  <si>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</si>
  <si>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</si>
  <si>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</si>
  <si>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</si>
  <si>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</si>
  <si>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</si>
  <si>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</si>
  <si>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</si>
  <si>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</si>
  <si>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</si>
  <si>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</si>
  <si>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</si>
  <si>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</si>
  <si>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</si>
  <si>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</si>
  <si>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</si>
  <si>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</si>
  <si>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</si>
  <si>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</si>
  <si>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</si>
  <si>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</si>
  <si>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</si>
  <si>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</si>
  <si>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</si>
  <si>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</si>
  <si>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</si>
  <si>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</si>
  <si>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</si>
  <si>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</si>
  <si>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</si>
  <si>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</si>
  <si>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</si>
  <si>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</si>
  <si>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</si>
  <si>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</si>
  <si>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</si>
  <si>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</si>
  <si>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</si>
  <si>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</si>
  <si>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</si>
  <si>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</si>
  <si>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</si>
  <si>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</si>
  <si>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</si>
  <si>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</si>
  <si>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</si>
  <si>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</si>
  <si>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</si>
  <si>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</si>
  <si>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</si>
  <si>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</si>
  <si>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</si>
  <si>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</si>
  <si>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</si>
  <si>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</si>
  <si>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</si>
  <si>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</si>
  <si>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</si>
  <si>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</si>
  <si>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</si>
  <si>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</si>
  <si>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</si>
  <si>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</si>
  <si>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</si>
  <si>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</si>
  <si>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</si>
  <si>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</si>
  <si>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</si>
  <si>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</si>
  <si>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</si>
  <si>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</si>
  <si>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</si>
  <si>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</si>
  <si>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</si>
  <si>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</si>
  <si>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</si>
  <si>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</si>
  <si>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</si>
  <si>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</si>
  <si>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</si>
  <si>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</si>
  <si>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</si>
  <si>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</si>
  <si>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</si>
  <si>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</si>
  <si>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</si>
  <si>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</si>
  <si>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</si>
  <si>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</si>
  <si>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</si>
  <si>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</si>
  <si>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</si>
  <si>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</si>
  <si>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</si>
  <si>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</si>
  <si>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</si>
  <si>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</si>
  <si>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</si>
  <si>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</si>
  <si>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</si>
  <si>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</si>
  <si>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</si>
  <si>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</si>
  <si>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</si>
  <si>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</si>
  <si>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</si>
  <si>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</si>
  <si>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</si>
  <si>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</si>
  <si>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</si>
  <si>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</si>
  <si>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</si>
  <si>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</si>
  <si>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</si>
  <si>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</si>
  <si>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</si>
  <si>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</si>
  <si>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</si>
  <si>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</si>
  <si>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</si>
  <si>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</si>
  <si>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</si>
  <si>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</si>
  <si>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</si>
  <si>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</si>
  <si>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</si>
  <si>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</si>
  <si>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</si>
  <si>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</si>
  <si>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</si>
  <si>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</si>
  <si>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</si>
  <si>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</si>
  <si>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</si>
  <si>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</si>
  <si>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</si>
  <si>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</si>
  <si>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</si>
  <si>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</si>
  <si>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</si>
  <si>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</si>
  <si>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</si>
  <si>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</si>
  <si>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</si>
  <si>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</si>
  <si>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</si>
  <si>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</si>
  <si>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</si>
  <si>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</si>
  <si>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</si>
  <si>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</si>
  <si>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</si>
  <si>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</si>
  <si>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</si>
  <si>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</si>
  <si>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</si>
  <si>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</si>
  <si>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</si>
  <si>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</si>
  <si>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</si>
  <si>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</si>
  <si>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</si>
  <si>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</si>
  <si>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</si>
  <si>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</si>
  <si>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</si>
  <si>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</si>
  <si>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</si>
  <si>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</si>
  <si>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</si>
  <si>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</si>
  <si>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</si>
  <si>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</si>
  <si>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</si>
  <si>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</si>
  <si>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</si>
  <si>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</si>
  <si>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</si>
  <si>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</si>
  <si>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</si>
  <si>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</si>
  <si>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</si>
  <si>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</si>
  <si>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</si>
  <si>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</si>
  <si>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</si>
  <si>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</si>
  <si>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</si>
  <si>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</si>
  <si>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</si>
  <si>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</si>
  <si>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</si>
  <si>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</si>
  <si>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</si>
  <si>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</si>
  <si>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</si>
  <si>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</si>
  <si>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</si>
  <si>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</si>
  <si>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</si>
  <si>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</si>
  <si>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</si>
  <si>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</si>
  <si>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</si>
  <si>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</si>
  <si>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</si>
  <si>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</si>
  <si>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</si>
  <si>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</si>
  <si>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</si>
  <si>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</si>
  <si>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</si>
  <si>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</si>
  <si>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</si>
  <si>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</si>
  <si>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</si>
  <si>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</si>
  <si>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</si>
  <si>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</si>
  <si>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</si>
  <si>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</si>
  <si>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</si>
  <si>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</si>
  <si>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</si>
  <si>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</si>
  <si>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</si>
  <si>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</si>
  <si>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</si>
  <si>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</si>
  <si>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</si>
  <si>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</si>
  <si>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</si>
  <si>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</si>
  <si>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</si>
  <si>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</si>
  <si>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</si>
  <si>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</si>
  <si>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</si>
  <si>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</si>
  <si>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</si>
  <si>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</si>
  <si>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</si>
  <si>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</si>
  <si>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</si>
  <si>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</si>
  <si>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</si>
  <si>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</si>
  <si>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</si>
  <si>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</si>
  <si>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</si>
  <si>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</si>
  <si>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</si>
  <si>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</si>
  <si>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</si>
  <si>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</si>
  <si>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</si>
  <si>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</si>
  <si>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</si>
  <si>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</si>
  <si>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</si>
  <si>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</si>
  <si>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</si>
  <si>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</si>
  <si>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</si>
  <si>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</si>
  <si>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</si>
  <si>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</si>
  <si>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</si>
  <si>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</si>
  <si>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</si>
  <si>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</si>
  <si>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</si>
  <si>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</si>
  <si>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</si>
  <si>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</si>
  <si>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</si>
  <si>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</si>
  <si>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</si>
  <si>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</si>
  <si>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</si>
  <si>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</si>
  <si>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</si>
  <si>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</si>
  <si>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</si>
  <si>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</si>
  <si>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</si>
  <si>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</si>
  <si>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</si>
  <si>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</si>
  <si>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</si>
  <si>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</si>
  <si>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</si>
  <si>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</si>
  <si>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</si>
  <si>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</si>
  <si>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</si>
  <si>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</si>
  <si>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</si>
  <si>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</si>
  <si>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</si>
  <si>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</si>
  <si>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</si>
  <si>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</si>
  <si>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</si>
  <si>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</si>
  <si>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</si>
  <si>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</si>
  <si>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</si>
  <si>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</si>
  <si>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</si>
  <si>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</si>
  <si>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</si>
  <si>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</si>
  <si>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</si>
  <si>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</si>
  <si>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</si>
  <si>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</si>
  <si>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</si>
  <si>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</si>
  <si>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</si>
  <si>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</si>
  <si>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</si>
  <si>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</si>
  <si>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</si>
  <si>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</si>
  <si>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</si>
  <si>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</si>
  <si>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</si>
  <si>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</si>
  <si>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</si>
  <si>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</si>
  <si>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</si>
  <si>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</si>
  <si>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</si>
  <si>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</si>
  <si>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</si>
  <si>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</si>
  <si>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</si>
  <si>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</si>
  <si>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</si>
  <si>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</si>
  <si>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</si>
  <si>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</si>
  <si>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</si>
  <si>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</si>
  <si>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</si>
  <si>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</si>
  <si>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</si>
  <si>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</si>
  <si>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</si>
  <si>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</si>
  <si>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</si>
  <si>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</si>
  <si>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</si>
  <si>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</si>
  <si>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</si>
  <si>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</si>
  <si>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</si>
  <si>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</si>
  <si>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</si>
  <si>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</si>
  <si>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</si>
  <si>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</si>
  <si>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</si>
  <si>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</si>
  <si>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</si>
  <si>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</si>
  <si>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</si>
  <si>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</si>
  <si>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</si>
  <si>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</si>
  <si>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</si>
  <si>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</si>
  <si>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</si>
  <si>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</si>
  <si>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</si>
  <si>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</si>
  <si>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</si>
  <si>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</si>
  <si>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</si>
  <si>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</si>
  <si>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</si>
  <si>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</si>
  <si>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</si>
  <si>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</si>
  <si>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</si>
  <si>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</si>
  <si>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</si>
  <si>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</si>
  <si>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</si>
  <si>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</si>
  <si>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</si>
  <si>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</si>
  <si>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</si>
  <si>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</si>
  <si>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</si>
  <si>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</si>
  <si>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</si>
  <si>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</si>
  <si>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</si>
  <si>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</si>
  <si>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</si>
  <si>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</si>
  <si>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</si>
  <si>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</si>
  <si>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</si>
  <si>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</si>
  <si>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</si>
  <si>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</si>
  <si>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</si>
  <si>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</si>
  <si>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</si>
  <si>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</si>
  <si>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</si>
  <si>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</si>
  <si>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</si>
  <si>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</si>
  <si>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</si>
  <si>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</si>
  <si>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</si>
  <si>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</si>
  <si>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</si>
  <si>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</si>
  <si>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</si>
  <si>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</si>
  <si>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</si>
  <si>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</si>
  <si>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</si>
  <si>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</si>
  <si>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</si>
  <si>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</si>
  <si>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</si>
  <si>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</si>
  <si>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</si>
  <si>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</si>
  <si>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</si>
  <si>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</si>
  <si>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</si>
  <si>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</si>
  <si>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</si>
  <si>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</si>
  <si>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</si>
  <si>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</si>
  <si>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</si>
  <si>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</si>
  <si>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</si>
  <si>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</si>
  <si>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</si>
  <si>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</si>
  <si>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</si>
  <si>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</si>
  <si>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</si>
  <si>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</si>
  <si>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</si>
  <si>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</si>
  <si>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</si>
  <si>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</si>
  <si>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</si>
  <si>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</si>
  <si>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</si>
  <si>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</si>
  <si>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</si>
  <si>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</si>
  <si>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</si>
  <si>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</si>
  <si>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</si>
  <si>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</si>
  <si>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</si>
  <si>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</si>
  <si>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</si>
  <si>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</si>
  <si>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</si>
  <si>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</si>
  <si>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</si>
  <si>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</si>
  <si>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</si>
  <si>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</si>
  <si>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</si>
  <si>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</si>
  <si>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</si>
  <si>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</si>
  <si>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</si>
  <si>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</si>
  <si>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</si>
  <si>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</si>
  <si>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</si>
  <si>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</si>
  <si>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</si>
  <si>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</si>
  <si>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</si>
  <si>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</si>
  <si>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</si>
  <si>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</si>
  <si>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</si>
  <si>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</si>
  <si>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</si>
  <si>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</si>
  <si>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</si>
  <si>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</si>
  <si>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</si>
  <si>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</si>
  <si>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</si>
  <si>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</si>
  <si>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</si>
  <si>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</si>
  <si>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</si>
  <si>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</si>
  <si>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</si>
  <si>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</si>
  <si>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</si>
  <si>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</si>
  <si>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</si>
  <si>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</si>
  <si>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</si>
  <si>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</si>
  <si>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</si>
  <si>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</si>
  <si>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</si>
  <si>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</si>
  <si>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</si>
  <si>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</si>
  <si>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</si>
  <si>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</si>
  <si>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</si>
  <si>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</si>
  <si>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</si>
  <si>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</si>
  <si>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</si>
  <si>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</si>
  <si>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</si>
  <si>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</si>
  <si>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</si>
  <si>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</si>
  <si>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</si>
  <si>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</si>
  <si>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</si>
  <si>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</si>
  <si>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</si>
  <si>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</si>
  <si>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</si>
  <si>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</si>
  <si>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</si>
  <si>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</si>
  <si>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</si>
  <si>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</si>
  <si>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</si>
  <si>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</si>
  <si>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</si>
  <si>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</si>
  <si>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</si>
  <si>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</si>
  <si>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</si>
  <si>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</si>
  <si>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</si>
  <si>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</si>
  <si>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</si>
  <si>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</si>
  <si>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</si>
  <si>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</si>
  <si>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</si>
  <si>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</si>
  <si>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</si>
  <si>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</si>
  <si>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</si>
  <si>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</si>
  <si>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</si>
  <si>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</si>
  <si>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</si>
  <si>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</si>
  <si>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</si>
  <si>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</si>
  <si>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</si>
  <si>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</si>
  <si>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</si>
  <si>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</si>
  <si>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</si>
  <si>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</si>
  <si>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</si>
  <si>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</si>
  <si>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</si>
  <si>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</si>
  <si>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</si>
  <si>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</si>
  <si>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</si>
  <si>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</si>
  <si>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</si>
  <si>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</si>
  <si>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</si>
  <si>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</si>
  <si>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</si>
  <si>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</si>
  <si>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</si>
  <si>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</si>
  <si>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</si>
  <si>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</si>
  <si>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</si>
  <si>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</si>
  <si>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</si>
  <si>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</si>
  <si>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</si>
  <si>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</si>
  <si>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</si>
  <si>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</si>
  <si>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</si>
  <si>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</si>
  <si>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</si>
  <si>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</si>
  <si>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</si>
  <si>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</si>
  <si>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</si>
  <si>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</si>
  <si>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</si>
  <si>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</si>
  <si>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</si>
  <si>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</si>
  <si>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</si>
  <si>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</si>
  <si>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</si>
  <si>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</si>
  <si>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</si>
  <si>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</si>
  <si>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</si>
  <si>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</si>
  <si>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</si>
  <si>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</si>
  <si>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</si>
  <si>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</si>
  <si>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</si>
  <si>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</si>
  <si>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</si>
  <si>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</si>
  <si>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</si>
  <si>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</si>
  <si>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</si>
  <si>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</si>
  <si>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</si>
  <si>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</si>
  <si>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</si>
  <si>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</si>
  <si>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</si>
  <si>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</si>
  <si>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</si>
  <si>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</si>
  <si>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</si>
  <si>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</si>
  <si>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</si>
  <si>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</si>
  <si>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</si>
  <si>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</si>
  <si>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</si>
  <si>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</si>
  <si>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</si>
  <si>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</si>
  <si>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</si>
  <si>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</si>
  <si>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</si>
  <si>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</si>
  <si>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</si>
  <si>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</si>
  <si>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</si>
  <si>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</si>
  <si>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</si>
  <si>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</si>
  <si>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</si>
  <si>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</si>
  <si>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</si>
  <si>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</si>
  <si>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</si>
  <si>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</si>
  <si>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</si>
  <si>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</si>
  <si>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</si>
  <si>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</si>
  <si>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</si>
  <si>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</si>
  <si>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</si>
  <si>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</si>
  <si>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</si>
  <si>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</si>
  <si>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</si>
  <si>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</si>
  <si>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</si>
  <si>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</si>
  <si>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</si>
  <si>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</si>
  <si>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</si>
  <si>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</si>
  <si>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</si>
  <si>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</si>
  <si>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</si>
  <si>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</si>
  <si>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</si>
  <si>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</si>
  <si>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</si>
  <si>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</si>
  <si>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</si>
  <si>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</si>
  <si>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</si>
  <si>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</si>
  <si>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</si>
  <si>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</si>
  <si>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</si>
  <si>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</si>
  <si>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</si>
  <si>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</si>
  <si>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</si>
  <si>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</si>
  <si>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</si>
  <si>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</si>
  <si>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</si>
  <si>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</si>
  <si>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</si>
  <si>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</si>
  <si>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</si>
  <si>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</si>
  <si>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</si>
  <si>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</si>
  <si>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</si>
  <si>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</si>
  <si>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</si>
  <si>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</si>
  <si>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</si>
  <si>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</si>
  <si>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</si>
  <si>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</si>
  <si>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</si>
  <si>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</si>
  <si>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</si>
  <si>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</si>
  <si>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</si>
  <si>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</si>
  <si>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</si>
  <si>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</si>
  <si>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</si>
  <si>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</si>
  <si>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</si>
  <si>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</si>
  <si>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</si>
  <si>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</si>
  <si>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</si>
  <si>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</si>
  <si>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</si>
  <si>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</si>
  <si>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</si>
  <si>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</si>
  <si>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</si>
  <si>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</si>
  <si>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</si>
  <si>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</si>
  <si>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</si>
  <si>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</si>
  <si>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</si>
  <si>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</si>
  <si>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</si>
  <si>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</si>
  <si>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</si>
  <si>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</si>
  <si>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</si>
  <si>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</si>
  <si>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</si>
  <si>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</si>
  <si>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</si>
  <si>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</si>
  <si>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</si>
  <si>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</si>
  <si>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</si>
  <si>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</si>
  <si>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</si>
  <si>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</si>
  <si>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</si>
  <si>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</si>
  <si>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</si>
  <si>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</si>
  <si>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</si>
  <si>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</si>
  <si>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</si>
  <si>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</si>
  <si>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</si>
  <si>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</si>
  <si>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</si>
  <si>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</si>
  <si>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</si>
  <si>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</si>
  <si>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</si>
  <si>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</si>
  <si>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</si>
  <si>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</si>
  <si>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</si>
  <si>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</si>
  <si>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</si>
  <si>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</si>
  <si>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</si>
  <si>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</si>
  <si>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</si>
  <si>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</si>
  <si>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</si>
  <si>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</si>
  <si>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</si>
  <si>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</si>
  <si>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</si>
  <si>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</si>
  <si>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</si>
  <si>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</si>
  <si>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</si>
  <si>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</si>
  <si>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</si>
  <si>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</si>
  <si>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</si>
  <si>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</si>
  <si>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</si>
  <si>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</si>
  <si>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</si>
  <si>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</si>
  <si>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</si>
  <si>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</si>
  <si>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</si>
  <si>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</si>
  <si>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</si>
  <si>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</si>
  <si>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</si>
  <si>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</si>
  <si>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</si>
  <si>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</si>
  <si>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</si>
  <si>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</si>
  <si>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</si>
  <si>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</si>
  <si>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</si>
  <si>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3046489#1</t>
  </si>
  <si>
    <t>Instituto Nacional de Desarrollo Rural y de la Tierra (INDERT)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</si>
  <si>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</si>
  <si>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</si>
  <si>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</si>
  <si>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</si>
  <si>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</si>
  <si>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</si>
  <si>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</si>
  <si>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</si>
  <si>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</si>
  <si>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</si>
  <si>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</si>
  <si>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</si>
  <si>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</si>
  <si>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</si>
  <si>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4588269#1</t>
  </si>
  <si>
    <t>Gesfinanciera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</si>
  <si>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</si>
  <si>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</si>
  <si>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</si>
  <si>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</si>
  <si>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</si>
  <si>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</si>
  <si>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</si>
  <si>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</si>
  <si>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</si>
  <si>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</si>
  <si>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</si>
  <si>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</si>
  <si>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</si>
  <si>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</si>
  <si>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</si>
  <si>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4546353#1</t>
  </si>
  <si>
    <t>Soluvial.cl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</si>
  <si>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</si>
  <si>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</si>
  <si>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</si>
  <si>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</si>
  <si>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</si>
  <si>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</si>
  <si>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</si>
  <si>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</si>
  <si>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</si>
  <si>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</si>
  <si>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</si>
  <si>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</si>
  <si>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</si>
  <si>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</si>
  <si>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4557618#1</t>
  </si>
  <si>
    <t>Grupo Nacional De Medios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</si>
  <si>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</si>
  <si>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</si>
  <si>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</si>
  <si>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</si>
  <si>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</si>
  <si>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</si>
  <si>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</si>
  <si>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</si>
  <si>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</si>
  <si>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</si>
  <si>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</si>
  <si>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</si>
  <si>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</si>
  <si>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491717#1</t>
  </si>
  <si>
    <t>Global Intimates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</si>
  <si>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</si>
  <si>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</si>
  <si>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</si>
  <si>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</si>
  <si>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</si>
  <si>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</si>
  <si>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</si>
  <si>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</si>
  <si>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</si>
  <si>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</si>
  <si>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</si>
  <si>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</si>
  <si>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</si>
  <si>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1678727#1</t>
  </si>
  <si>
    <t>Segura Julian Matias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</si>
  <si>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</si>
  <si>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</si>
  <si>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</si>
  <si>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</si>
  <si>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</si>
  <si>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</si>
  <si>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</si>
  <si>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</si>
  <si>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</si>
  <si>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</si>
  <si>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</si>
  <si>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</si>
  <si>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242468#3</t>
  </si>
  <si>
    <t>Prodismo S.R.L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</si>
  <si>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</si>
  <si>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</si>
  <si>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</si>
  <si>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</si>
  <si>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</si>
  <si>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</si>
  <si>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</si>
  <si>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</si>
  <si>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</si>
  <si>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</si>
  <si>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</si>
  <si>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</si>
  <si>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711103#1</t>
  </si>
  <si>
    <t>Obrando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</si>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</sst>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49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0" fillId="0" fontId="46" numFmtId="49" xfId="0" applyAlignment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b75b4c32-317b-48aa-a115-6baff836b8b4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d v="2026-06-01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s v="3046489#1"/>
        <s v="4588269#1"/>
        <s v="4546353#1"/>
        <s v="4557618#1"/>
        <s v="491717#1"/>
        <s v="1678727#1"/>
        <s v="242468#3"/>
        <s v="711103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s v="Instituto Nacional de Desarrollo Rural y de la Tierra (INDERT)"/>
        <s v="Gesfinanciera"/>
        <s v="Soluvial.cl"/>
        <s v="Grupo Nacional De Medios"/>
        <s v="Global Intimates"/>
        <s v="Segura Julian Matias"/>
        <s v="Prodismo S.R.L"/>
        <s v="Obrando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descending">
      <items>
        <item x="0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descending">
      <items>
        <item x="0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3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0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9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1000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1000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8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2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8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b75b4c32-317b-48aa-a115-6baff836b8b4}" id="{a2fe2231-6b63-4c43-b57c-123a5c6db590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0.xml"/><Relationship Id="rId22" Type="http://schemas.openxmlformats.org/officeDocument/2006/relationships/table" Target="../tables/table22.xml"/><Relationship Id="rId21" Type="http://schemas.openxmlformats.org/officeDocument/2006/relationships/table" Target="../tables/table21.xml"/><Relationship Id="rId24" Type="http://schemas.openxmlformats.org/officeDocument/2006/relationships/table" Target="../tables/table24.xml"/><Relationship Id="rId23" Type="http://schemas.openxmlformats.org/officeDocument/2006/relationships/table" Target="../tables/table23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19.xml"/><Relationship Id="rId6" Type="http://schemas.openxmlformats.org/officeDocument/2006/relationships/hyperlink" Target="http://soluvial.cl" TargetMode="External"/><Relationship Id="rId18" Type="http://schemas.openxmlformats.org/officeDocument/2006/relationships/table" Target="../tables/table18.xml"/><Relationship Id="rId7" Type="http://schemas.openxmlformats.org/officeDocument/2006/relationships/drawing" Target="../drawings/drawing6.xml"/><Relationship Id="rId8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13" Type="http://schemas.openxmlformats.org/officeDocument/2006/relationships/table" Target="../tables/table26.xml"/><Relationship Id="rId12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2.vml"/><Relationship Id="rId15" Type="http://schemas.openxmlformats.org/officeDocument/2006/relationships/table" Target="../tables/table28.xml"/><Relationship Id="rId14" Type="http://schemas.openxmlformats.org/officeDocument/2006/relationships/table" Target="../tables/table27.xml"/><Relationship Id="rId17" Type="http://schemas.openxmlformats.org/officeDocument/2006/relationships/table" Target="../tables/table30.xml"/><Relationship Id="rId16" Type="http://schemas.openxmlformats.org/officeDocument/2006/relationships/table" Target="../tables/table29.xml"/><Relationship Id="rId19" Type="http://schemas.openxmlformats.org/officeDocument/2006/relationships/table" Target="../tables/table32.xml"/><Relationship Id="rId18" Type="http://schemas.openxmlformats.org/officeDocument/2006/relationships/table" Target="../tables/table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16</v>
      </c>
      <c r="L127" s="33">
        <f t="shared" ref="L127:L131" si="8">I127-K127</f>
        <v>-11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4</v>
      </c>
      <c r="L128" s="33">
        <f t="shared" si="8"/>
        <v>6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19</v>
      </c>
      <c r="L129" s="33">
        <f t="shared" si="8"/>
        <v>1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10</v>
      </c>
      <c r="L131" s="33">
        <f t="shared" si="8"/>
        <v>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7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270">
        <v>46174.0</v>
      </c>
      <c r="BG48" s="109" t="s">
        <v>3124</v>
      </c>
      <c r="BH48" s="109" t="s">
        <v>3125</v>
      </c>
      <c r="BI48" s="58" t="s">
        <v>21</v>
      </c>
      <c r="BJ48" s="58" t="s">
        <v>20</v>
      </c>
      <c r="BK48" s="61"/>
      <c r="BL48" s="298"/>
    </row>
    <row r="49" ht="22.5" customHeight="1">
      <c r="A49" s="368"/>
      <c r="B49" s="314">
        <v>46136.0</v>
      </c>
      <c r="C49" s="302" t="s">
        <v>3126</v>
      </c>
      <c r="D49" s="277" t="s">
        <v>3127</v>
      </c>
      <c r="E49" s="303" t="s">
        <v>22</v>
      </c>
      <c r="F49" s="303" t="s">
        <v>14</v>
      </c>
      <c r="G49" s="424" t="s">
        <v>3128</v>
      </c>
      <c r="H49" s="281" t="b">
        <v>1</v>
      </c>
      <c r="J49" s="270">
        <v>46149.0</v>
      </c>
      <c r="K49" s="109" t="s">
        <v>3129</v>
      </c>
      <c r="L49" s="109" t="s">
        <v>3130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3131</v>
      </c>
      <c r="T49" s="392" t="s">
        <v>3132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3133</v>
      </c>
      <c r="AB49" s="109" t="s">
        <v>3134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3135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3136</v>
      </c>
      <c r="AR49" s="109" t="s">
        <v>3137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3138</v>
      </c>
      <c r="AZ49" s="373" t="s">
        <v>3139</v>
      </c>
      <c r="BA49" s="344" t="s">
        <v>22</v>
      </c>
      <c r="BB49" s="344" t="s">
        <v>2344</v>
      </c>
      <c r="BC49" s="61"/>
      <c r="BD49" s="269" t="b">
        <v>1</v>
      </c>
      <c r="BF49" s="270">
        <v>46174.0</v>
      </c>
      <c r="BG49" s="109" t="s">
        <v>3140</v>
      </c>
      <c r="BH49" s="109" t="s">
        <v>3141</v>
      </c>
      <c r="BI49" s="58" t="s">
        <v>18</v>
      </c>
      <c r="BJ49" s="58" t="s">
        <v>20</v>
      </c>
      <c r="BK49" s="61"/>
      <c r="BL49" s="298"/>
    </row>
    <row r="50" ht="22.5" customHeight="1">
      <c r="A50" s="368"/>
      <c r="B50" s="314">
        <v>46136.0</v>
      </c>
      <c r="C50" s="302" t="s">
        <v>3142</v>
      </c>
      <c r="D50" s="277" t="s">
        <v>3143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3144</v>
      </c>
      <c r="L50" s="109" t="s">
        <v>3145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3146</v>
      </c>
      <c r="T50" s="392" t="s">
        <v>3147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3148</v>
      </c>
      <c r="AB50" s="109" t="s">
        <v>3149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3150</v>
      </c>
      <c r="AJ50" s="273" t="s">
        <v>3151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3152</v>
      </c>
      <c r="AR50" s="417" t="s">
        <v>3153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3154</v>
      </c>
      <c r="AZ50" s="373" t="s">
        <v>3155</v>
      </c>
      <c r="BA50" s="58" t="s">
        <v>22</v>
      </c>
      <c r="BB50" s="58" t="s">
        <v>958</v>
      </c>
      <c r="BC50" s="109" t="s">
        <v>3156</v>
      </c>
      <c r="BD50" s="269" t="b">
        <v>1</v>
      </c>
      <c r="BF50" s="270">
        <v>46174.0</v>
      </c>
      <c r="BG50" s="109" t="s">
        <v>3157</v>
      </c>
      <c r="BH50" s="317" t="s">
        <v>3158</v>
      </c>
      <c r="BI50" s="58" t="s">
        <v>18</v>
      </c>
      <c r="BJ50" s="58" t="s">
        <v>20</v>
      </c>
      <c r="BK50" s="61"/>
      <c r="BL50" s="298"/>
    </row>
    <row r="51" ht="22.5" customHeight="1">
      <c r="A51" s="368"/>
      <c r="B51" s="314">
        <v>46139.0</v>
      </c>
      <c r="C51" s="302" t="s">
        <v>3159</v>
      </c>
      <c r="D51" s="277" t="s">
        <v>3160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3161</v>
      </c>
      <c r="L51" s="109" t="s">
        <v>3162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3163</v>
      </c>
      <c r="T51" s="397" t="s">
        <v>3164</v>
      </c>
      <c r="U51" s="58" t="s">
        <v>22</v>
      </c>
      <c r="V51" s="58" t="s">
        <v>12</v>
      </c>
      <c r="W51" s="109" t="s">
        <v>3165</v>
      </c>
      <c r="X51" s="269" t="b">
        <v>1</v>
      </c>
      <c r="Z51" s="270">
        <v>46156.0</v>
      </c>
      <c r="AA51" s="109" t="s">
        <v>3166</v>
      </c>
      <c r="AB51" s="109" t="s">
        <v>3167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3168</v>
      </c>
      <c r="AJ51" s="294" t="s">
        <v>3169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3170</v>
      </c>
      <c r="AZ51" s="373" t="s">
        <v>3171</v>
      </c>
      <c r="BA51" s="58"/>
      <c r="BB51" s="58" t="s">
        <v>2347</v>
      </c>
      <c r="BC51" s="109" t="s">
        <v>3172</v>
      </c>
      <c r="BD51" s="269" t="b">
        <v>0</v>
      </c>
      <c r="BF51" s="270">
        <v>46174.0</v>
      </c>
      <c r="BG51" s="109" t="s">
        <v>3173</v>
      </c>
      <c r="BH51" s="109" t="s">
        <v>3174</v>
      </c>
      <c r="BI51" s="58" t="s">
        <v>27</v>
      </c>
      <c r="BJ51" s="58" t="s">
        <v>20</v>
      </c>
      <c r="BK51" s="61"/>
      <c r="BL51" s="298"/>
    </row>
    <row r="52" ht="22.5" customHeight="1">
      <c r="A52" s="368"/>
      <c r="B52" s="314">
        <v>46139.0</v>
      </c>
      <c r="C52" s="302" t="s">
        <v>3175</v>
      </c>
      <c r="D52" s="277" t="s">
        <v>3176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3177</v>
      </c>
      <c r="L52" s="109" t="s">
        <v>3178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3179</v>
      </c>
      <c r="T52" s="392" t="s">
        <v>3180</v>
      </c>
      <c r="U52" s="58"/>
      <c r="V52" s="58" t="s">
        <v>958</v>
      </c>
      <c r="W52" s="109" t="s">
        <v>3181</v>
      </c>
      <c r="X52" s="298"/>
      <c r="Z52" s="270">
        <v>46156.0</v>
      </c>
      <c r="AA52" s="109" t="s">
        <v>3182</v>
      </c>
      <c r="AB52" s="109" t="s">
        <v>3183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3184</v>
      </c>
      <c r="AJ52" s="273" t="s">
        <v>3185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3186</v>
      </c>
      <c r="AZ52" s="373" t="s">
        <v>3187</v>
      </c>
      <c r="BA52" s="58" t="s">
        <v>44</v>
      </c>
      <c r="BB52" s="58" t="s">
        <v>9</v>
      </c>
      <c r="BC52" s="61"/>
      <c r="BD52" s="269" t="b">
        <v>1</v>
      </c>
      <c r="BF52" s="270">
        <v>46174.0</v>
      </c>
      <c r="BG52" s="109" t="s">
        <v>3188</v>
      </c>
      <c r="BH52" s="109" t="s">
        <v>3189</v>
      </c>
      <c r="BI52" s="58" t="s">
        <v>27</v>
      </c>
      <c r="BJ52" s="58" t="s">
        <v>20</v>
      </c>
      <c r="BK52" s="61"/>
      <c r="BL52" s="298"/>
    </row>
    <row r="53" ht="22.5" customHeight="1">
      <c r="A53" s="368"/>
      <c r="B53" s="314">
        <v>46139.0</v>
      </c>
      <c r="C53" s="302" t="s">
        <v>3190</v>
      </c>
      <c r="D53" s="277" t="s">
        <v>3191</v>
      </c>
      <c r="E53" s="303" t="s">
        <v>13</v>
      </c>
      <c r="F53" s="303" t="s">
        <v>12</v>
      </c>
      <c r="G53" s="302" t="s">
        <v>3192</v>
      </c>
      <c r="H53" s="315"/>
      <c r="J53" s="270">
        <v>46149.0</v>
      </c>
      <c r="K53" s="109" t="s">
        <v>3193</v>
      </c>
      <c r="L53" s="109" t="s">
        <v>3194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3195</v>
      </c>
      <c r="T53" s="109" t="s">
        <v>3196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3197</v>
      </c>
      <c r="AB53" s="109" t="s">
        <v>3198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3199</v>
      </c>
      <c r="AJ53" s="294" t="s">
        <v>3200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3201</v>
      </c>
      <c r="AZ53" s="373" t="s">
        <v>3202</v>
      </c>
      <c r="BA53" s="58" t="s">
        <v>13</v>
      </c>
      <c r="BB53" s="58" t="s">
        <v>958</v>
      </c>
      <c r="BC53" s="61"/>
      <c r="BD53" s="269" t="b">
        <v>1</v>
      </c>
      <c r="BF53" s="270">
        <v>46174.0</v>
      </c>
      <c r="BG53" s="109" t="s">
        <v>3203</v>
      </c>
      <c r="BH53" s="109" t="s">
        <v>3204</v>
      </c>
      <c r="BI53" s="58" t="s">
        <v>11</v>
      </c>
      <c r="BJ53" s="58" t="s">
        <v>20</v>
      </c>
      <c r="BK53" s="61"/>
      <c r="BL53" s="298"/>
    </row>
    <row r="54" ht="22.5" customHeight="1">
      <c r="A54" s="368"/>
      <c r="B54" s="314">
        <v>46139.0</v>
      </c>
      <c r="C54" s="302" t="s">
        <v>3205</v>
      </c>
      <c r="D54" s="277" t="s">
        <v>3206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3207</v>
      </c>
      <c r="L54" s="109" t="s">
        <v>3208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3209</v>
      </c>
      <c r="T54" s="109" t="s">
        <v>3210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3211</v>
      </c>
      <c r="AB54" s="109" t="s">
        <v>3212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3213</v>
      </c>
      <c r="AJ54" s="273" t="s">
        <v>3214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3215</v>
      </c>
      <c r="AZ54" s="294" t="s">
        <v>3216</v>
      </c>
      <c r="BA54" s="391" t="s">
        <v>22</v>
      </c>
      <c r="BB54" s="295" t="s">
        <v>2344</v>
      </c>
      <c r="BC54" s="61"/>
      <c r="BD54" s="269" t="b">
        <v>1</v>
      </c>
      <c r="BF54" s="270">
        <v>46174.0</v>
      </c>
      <c r="BG54" s="109" t="s">
        <v>3217</v>
      </c>
      <c r="BH54" s="109" t="s">
        <v>3218</v>
      </c>
      <c r="BI54" s="58" t="s">
        <v>11</v>
      </c>
      <c r="BJ54" s="58" t="s">
        <v>20</v>
      </c>
      <c r="BK54" s="61"/>
      <c r="BL54" s="298"/>
    </row>
    <row r="55" ht="22.5" customHeight="1">
      <c r="A55" s="368"/>
      <c r="B55" s="314">
        <v>46139.0</v>
      </c>
      <c r="C55" s="302" t="s">
        <v>3219</v>
      </c>
      <c r="D55" s="277" t="s">
        <v>3220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3221</v>
      </c>
      <c r="L55" s="284" t="s">
        <v>3222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3223</v>
      </c>
      <c r="T55" s="109" t="s">
        <v>3224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3225</v>
      </c>
      <c r="AB55" s="109" t="s">
        <v>3226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3227</v>
      </c>
      <c r="AJ55" s="294" t="s">
        <v>3228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3229</v>
      </c>
      <c r="AZ55" s="373" t="s">
        <v>3230</v>
      </c>
      <c r="BA55" s="58" t="s">
        <v>32</v>
      </c>
      <c r="BB55" s="58" t="s">
        <v>9</v>
      </c>
      <c r="BC55" s="61"/>
      <c r="BD55" s="269" t="b">
        <v>1</v>
      </c>
      <c r="BF55" s="270">
        <v>46174.0</v>
      </c>
      <c r="BG55" s="109" t="s">
        <v>3231</v>
      </c>
      <c r="BH55" s="109" t="s">
        <v>3232</v>
      </c>
      <c r="BI55" s="58" t="s">
        <v>11</v>
      </c>
      <c r="BJ55" s="58" t="s">
        <v>20</v>
      </c>
      <c r="BK55" s="61"/>
      <c r="BL55" s="298"/>
    </row>
    <row r="56" ht="22.5" customHeight="1">
      <c r="A56" s="368"/>
      <c r="B56" s="314">
        <v>46139.0</v>
      </c>
      <c r="C56" s="302" t="s">
        <v>3233</v>
      </c>
      <c r="D56" s="277" t="s">
        <v>3234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3235</v>
      </c>
      <c r="L56" s="109" t="s">
        <v>3236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3237</v>
      </c>
      <c r="T56" s="109" t="s">
        <v>3238</v>
      </c>
      <c r="U56" s="58" t="s">
        <v>22</v>
      </c>
      <c r="V56" s="58" t="s">
        <v>2344</v>
      </c>
      <c r="W56" s="109" t="s">
        <v>3239</v>
      </c>
      <c r="X56" s="269" t="b">
        <v>1</v>
      </c>
      <c r="Z56" s="270">
        <v>46156.0</v>
      </c>
      <c r="AA56" s="109" t="s">
        <v>3240</v>
      </c>
      <c r="AB56" s="109" t="s">
        <v>3241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3242</v>
      </c>
      <c r="AJ56" s="273" t="s">
        <v>3243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3244</v>
      </c>
      <c r="AZ56" s="373" t="s">
        <v>3245</v>
      </c>
      <c r="BA56" s="58" t="s">
        <v>32</v>
      </c>
      <c r="BB56" s="58" t="s">
        <v>9</v>
      </c>
      <c r="BC56" s="61"/>
      <c r="BD56" s="269" t="b">
        <v>1</v>
      </c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314">
        <v>46139.0</v>
      </c>
      <c r="C57" s="302" t="s">
        <v>3246</v>
      </c>
      <c r="D57" s="277" t="s">
        <v>3247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3248</v>
      </c>
      <c r="L57" s="109" t="s">
        <v>3249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3250</v>
      </c>
      <c r="T57" s="109" t="s">
        <v>3251</v>
      </c>
      <c r="U57" s="58" t="s">
        <v>22</v>
      </c>
      <c r="V57" s="58" t="s">
        <v>2344</v>
      </c>
      <c r="W57" s="109" t="s">
        <v>3239</v>
      </c>
      <c r="X57" s="269" t="b">
        <v>1</v>
      </c>
      <c r="Z57" s="270">
        <v>46157.0</v>
      </c>
      <c r="AA57" s="109" t="s">
        <v>3252</v>
      </c>
      <c r="AB57" s="109" t="s">
        <v>3253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3254</v>
      </c>
      <c r="AJ57" s="294" t="s">
        <v>3255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3256</v>
      </c>
      <c r="AZ57" s="373" t="s">
        <v>3257</v>
      </c>
      <c r="BA57" s="58" t="s">
        <v>32</v>
      </c>
      <c r="BB57" s="58" t="s">
        <v>9</v>
      </c>
      <c r="BC57" s="61"/>
      <c r="BD57" s="269" t="b">
        <v>1</v>
      </c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314">
        <v>46139.0</v>
      </c>
      <c r="C58" s="302" t="s">
        <v>3258</v>
      </c>
      <c r="D58" s="277" t="s">
        <v>3259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3260</v>
      </c>
      <c r="L58" s="109" t="s">
        <v>3261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3262</v>
      </c>
      <c r="T58" s="109" t="s">
        <v>3263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3264</v>
      </c>
      <c r="AB58" s="109" t="s">
        <v>3265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3266</v>
      </c>
      <c r="AJ58" s="273" t="s">
        <v>3267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3268</v>
      </c>
      <c r="AZ58" s="413" t="s">
        <v>3269</v>
      </c>
      <c r="BA58" s="58" t="s">
        <v>22</v>
      </c>
      <c r="BB58" s="58" t="s">
        <v>12</v>
      </c>
      <c r="BC58" s="61"/>
      <c r="BD58" s="269" t="b">
        <v>1</v>
      </c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314">
        <v>46139.0</v>
      </c>
      <c r="C59" s="302" t="s">
        <v>3270</v>
      </c>
      <c r="D59" s="277" t="s">
        <v>3271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3272</v>
      </c>
      <c r="L59" s="109" t="s">
        <v>3273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3274</v>
      </c>
      <c r="T59" s="109" t="s">
        <v>3275</v>
      </c>
      <c r="U59" s="58" t="s">
        <v>22</v>
      </c>
      <c r="V59" s="58" t="s">
        <v>2344</v>
      </c>
      <c r="W59" s="109" t="s">
        <v>3239</v>
      </c>
      <c r="X59" s="269" t="b">
        <v>1</v>
      </c>
      <c r="Z59" s="270">
        <v>46157.0</v>
      </c>
      <c r="AA59" s="109" t="s">
        <v>3276</v>
      </c>
      <c r="AB59" s="109" t="s">
        <v>3277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3278</v>
      </c>
      <c r="AJ59" s="294" t="s">
        <v>3279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3280</v>
      </c>
      <c r="AZ59" s="411" t="s">
        <v>3281</v>
      </c>
      <c r="BA59" s="58" t="s">
        <v>22</v>
      </c>
      <c r="BB59" s="58" t="s">
        <v>12</v>
      </c>
      <c r="BC59" s="61"/>
      <c r="BD59" s="269" t="b">
        <v>1</v>
      </c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314">
        <v>46139.0</v>
      </c>
      <c r="C60" s="302" t="s">
        <v>3282</v>
      </c>
      <c r="D60" s="277" t="s">
        <v>3283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3284</v>
      </c>
      <c r="L60" s="109" t="s">
        <v>3285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3286</v>
      </c>
      <c r="T60" s="109" t="s">
        <v>3287</v>
      </c>
      <c r="U60" s="58" t="s">
        <v>22</v>
      </c>
      <c r="V60" s="58" t="s">
        <v>2344</v>
      </c>
      <c r="W60" s="109" t="s">
        <v>3239</v>
      </c>
      <c r="X60" s="269" t="b">
        <v>1</v>
      </c>
      <c r="Z60" s="270">
        <v>46157.0</v>
      </c>
      <c r="AA60" s="109" t="s">
        <v>3288</v>
      </c>
      <c r="AB60" s="109" t="s">
        <v>3289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3290</v>
      </c>
      <c r="AJ60" s="273" t="s">
        <v>3291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3292</v>
      </c>
      <c r="AZ60" s="413" t="s">
        <v>3293</v>
      </c>
      <c r="BA60" s="58" t="s">
        <v>22</v>
      </c>
      <c r="BB60" s="58" t="s">
        <v>12</v>
      </c>
      <c r="BC60" s="61"/>
      <c r="BD60" s="269" t="b">
        <v>1</v>
      </c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314">
        <v>46139.0</v>
      </c>
      <c r="C61" s="302" t="s">
        <v>3294</v>
      </c>
      <c r="D61" s="277" t="s">
        <v>3295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3296</v>
      </c>
      <c r="L61" s="109" t="s">
        <v>3297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3298</v>
      </c>
      <c r="T61" s="312" t="s">
        <v>3299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3300</v>
      </c>
      <c r="AB61" s="109" t="s">
        <v>3301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3302</v>
      </c>
      <c r="AJ61" s="294" t="s">
        <v>3303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3304</v>
      </c>
      <c r="AZ61" s="411" t="s">
        <v>3305</v>
      </c>
      <c r="BA61" s="58" t="s">
        <v>22</v>
      </c>
      <c r="BB61" s="58" t="s">
        <v>12</v>
      </c>
      <c r="BC61" s="61"/>
      <c r="BD61" s="269" t="b">
        <v>1</v>
      </c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314">
        <v>46139.0</v>
      </c>
      <c r="C62" s="302" t="s">
        <v>3306</v>
      </c>
      <c r="D62" s="277" t="s">
        <v>3307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3308</v>
      </c>
      <c r="L62" s="109" t="s">
        <v>3309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3310</v>
      </c>
      <c r="T62" s="347" t="s">
        <v>3311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3312</v>
      </c>
      <c r="AB62" s="109" t="s">
        <v>3313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3314</v>
      </c>
      <c r="AJ62" s="373" t="s">
        <v>3315</v>
      </c>
      <c r="AK62" s="58" t="s">
        <v>22</v>
      </c>
      <c r="AL62" s="58" t="s">
        <v>2347</v>
      </c>
      <c r="AM62" s="109" t="s">
        <v>3316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3317</v>
      </c>
      <c r="AZ62" s="413" t="s">
        <v>3318</v>
      </c>
      <c r="BA62" s="58" t="s">
        <v>22</v>
      </c>
      <c r="BB62" s="58" t="s">
        <v>12</v>
      </c>
      <c r="BC62" s="61"/>
      <c r="BD62" s="269" t="b">
        <v>1</v>
      </c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314">
        <v>46139.0</v>
      </c>
      <c r="C63" s="302" t="s">
        <v>3319</v>
      </c>
      <c r="D63" s="277" t="s">
        <v>3320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3321</v>
      </c>
      <c r="L63" s="109" t="s">
        <v>3322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3323</v>
      </c>
      <c r="T63" s="421" t="s">
        <v>3324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3325</v>
      </c>
      <c r="AB63" s="109" t="s">
        <v>3326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3327</v>
      </c>
      <c r="AJ63" s="373" t="s">
        <v>3328</v>
      </c>
      <c r="AK63" s="58" t="s">
        <v>16</v>
      </c>
      <c r="AL63" s="58" t="s">
        <v>2347</v>
      </c>
      <c r="AM63" s="109" t="s">
        <v>3316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3329</v>
      </c>
      <c r="AZ63" s="373" t="s">
        <v>3330</v>
      </c>
      <c r="BA63" s="58" t="s">
        <v>16</v>
      </c>
      <c r="BB63" s="58" t="s">
        <v>12</v>
      </c>
      <c r="BC63" s="61"/>
      <c r="BD63" s="269" t="b">
        <v>1</v>
      </c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314">
        <v>46139.0</v>
      </c>
      <c r="C64" s="302" t="s">
        <v>3331</v>
      </c>
      <c r="D64" s="277" t="s">
        <v>3332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3333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3334</v>
      </c>
      <c r="T64" s="47" t="s">
        <v>3335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3336</v>
      </c>
      <c r="AB64" s="109" t="s">
        <v>3337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3338</v>
      </c>
      <c r="AZ64" s="373" t="s">
        <v>3339</v>
      </c>
      <c r="BA64" s="58"/>
      <c r="BB64" s="58" t="s">
        <v>2347</v>
      </c>
      <c r="BC64" s="109" t="s">
        <v>3340</v>
      </c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314">
        <v>46139.0</v>
      </c>
      <c r="C65" s="302" t="s">
        <v>3341</v>
      </c>
      <c r="D65" s="277" t="s">
        <v>3342</v>
      </c>
      <c r="E65" s="303" t="s">
        <v>19</v>
      </c>
      <c r="F65" s="303" t="s">
        <v>9</v>
      </c>
      <c r="G65" s="424" t="s">
        <v>3343</v>
      </c>
      <c r="H65" s="281" t="b">
        <v>1</v>
      </c>
      <c r="J65" s="270">
        <v>46150.0</v>
      </c>
      <c r="K65" s="109" t="s">
        <v>3344</v>
      </c>
      <c r="L65" s="109" t="s">
        <v>3345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3346</v>
      </c>
      <c r="T65" s="47" t="s">
        <v>3347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3348</v>
      </c>
      <c r="AB65" s="109" t="s">
        <v>3349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3350</v>
      </c>
      <c r="AZ65" s="109" t="s">
        <v>3351</v>
      </c>
      <c r="BA65" s="58" t="s">
        <v>13</v>
      </c>
      <c r="BB65" s="58" t="s">
        <v>2349</v>
      </c>
      <c r="BC65" s="61"/>
      <c r="BD65" s="269" t="b">
        <v>1</v>
      </c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314">
        <v>46139.0</v>
      </c>
      <c r="C66" s="302" t="s">
        <v>3352</v>
      </c>
      <c r="D66" s="277" t="s">
        <v>3353</v>
      </c>
      <c r="E66" s="303" t="s">
        <v>44</v>
      </c>
      <c r="F66" s="303" t="s">
        <v>9</v>
      </c>
      <c r="G66" s="302" t="s">
        <v>3354</v>
      </c>
      <c r="H66" s="281" t="b">
        <v>1</v>
      </c>
      <c r="J66" s="270">
        <v>46150.0</v>
      </c>
      <c r="K66" s="312" t="s">
        <v>3355</v>
      </c>
      <c r="L66" s="109" t="s">
        <v>3356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3357</v>
      </c>
      <c r="T66" s="47" t="s">
        <v>3358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3359</v>
      </c>
      <c r="AB66" s="109" t="s">
        <v>3360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3361</v>
      </c>
      <c r="AZ66" s="373" t="s">
        <v>3362</v>
      </c>
      <c r="BA66" s="58" t="s">
        <v>16</v>
      </c>
      <c r="BB66" s="58" t="s">
        <v>9</v>
      </c>
      <c r="BC66" s="61"/>
      <c r="BD66" s="269" t="b">
        <v>1</v>
      </c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314">
        <v>46140.0</v>
      </c>
      <c r="C67" s="302" t="s">
        <v>3363</v>
      </c>
      <c r="D67" s="277" t="s">
        <v>3364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3365</v>
      </c>
      <c r="L67" s="109" t="s">
        <v>3366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3367</v>
      </c>
      <c r="T67" s="47" t="s">
        <v>3368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3369</v>
      </c>
      <c r="AB67" s="109" t="s">
        <v>3370</v>
      </c>
      <c r="AC67" s="58" t="s">
        <v>18</v>
      </c>
      <c r="AD67" s="58" t="s">
        <v>20</v>
      </c>
      <c r="AE67" s="109" t="s">
        <v>3371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3372</v>
      </c>
      <c r="AZ67" s="109" t="s">
        <v>3373</v>
      </c>
      <c r="BA67" s="58" t="s">
        <v>32</v>
      </c>
      <c r="BB67" s="58" t="s">
        <v>2349</v>
      </c>
      <c r="BC67" s="61"/>
      <c r="BD67" s="269" t="b">
        <v>1</v>
      </c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314">
        <v>46140.0</v>
      </c>
      <c r="C68" s="302" t="s">
        <v>3374</v>
      </c>
      <c r="D68" s="277" t="s">
        <v>3375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3376</v>
      </c>
      <c r="L68" s="109" t="s">
        <v>3377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3378</v>
      </c>
      <c r="T68" s="109" t="s">
        <v>3379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3380</v>
      </c>
      <c r="AB68" s="109" t="s">
        <v>3381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3382</v>
      </c>
      <c r="AZ68" s="109" t="s">
        <v>3383</v>
      </c>
      <c r="BA68" s="58" t="s">
        <v>16</v>
      </c>
      <c r="BB68" s="58" t="s">
        <v>2349</v>
      </c>
      <c r="BC68" s="61"/>
      <c r="BD68" s="269" t="b">
        <v>1</v>
      </c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314">
        <v>46140.0</v>
      </c>
      <c r="C69" s="302" t="s">
        <v>3384</v>
      </c>
      <c r="D69" s="277" t="s">
        <v>3385</v>
      </c>
      <c r="E69" s="303" t="s">
        <v>10</v>
      </c>
      <c r="F69" s="303" t="s">
        <v>12</v>
      </c>
      <c r="G69" s="302" t="s">
        <v>3386</v>
      </c>
      <c r="H69" s="315"/>
      <c r="J69" s="270">
        <v>46150.0</v>
      </c>
      <c r="K69" s="109" t="s">
        <v>3387</v>
      </c>
      <c r="L69" s="109" t="s">
        <v>3388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3389</v>
      </c>
      <c r="T69" s="109" t="s">
        <v>3390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3391</v>
      </c>
      <c r="AB69" s="109" t="s">
        <v>3392</v>
      </c>
      <c r="AC69" s="58" t="s">
        <v>18</v>
      </c>
      <c r="AD69" s="58" t="s">
        <v>20</v>
      </c>
      <c r="AE69" s="109" t="s">
        <v>3393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3394</v>
      </c>
      <c r="AZ69" s="373" t="s">
        <v>3395</v>
      </c>
      <c r="BA69" s="58" t="s">
        <v>19</v>
      </c>
      <c r="BB69" s="58" t="s">
        <v>9</v>
      </c>
      <c r="BC69" s="61"/>
      <c r="BD69" s="269" t="b">
        <v>1</v>
      </c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314">
        <v>46140.0</v>
      </c>
      <c r="C70" s="302" t="s">
        <v>3396</v>
      </c>
      <c r="D70" s="277" t="s">
        <v>3397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3398</v>
      </c>
      <c r="L70" s="109" t="s">
        <v>3399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3400</v>
      </c>
      <c r="T70" s="109" t="s">
        <v>3401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3402</v>
      </c>
      <c r="AB70" s="109" t="s">
        <v>3403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3404</v>
      </c>
      <c r="AZ70" s="373" t="s">
        <v>3405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3406</v>
      </c>
      <c r="D71" s="277" t="s">
        <v>3407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3408</v>
      </c>
      <c r="L71" s="109" t="s">
        <v>3409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3410</v>
      </c>
      <c r="AB71" s="109" t="s">
        <v>3411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3412</v>
      </c>
      <c r="D72" s="277" t="s">
        <v>3413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3414</v>
      </c>
      <c r="L72" s="109" t="s">
        <v>3415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3416</v>
      </c>
      <c r="AB72" s="109" t="s">
        <v>3417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3418</v>
      </c>
      <c r="D73" s="277" t="s">
        <v>3419</v>
      </c>
      <c r="E73" s="303" t="s">
        <v>13</v>
      </c>
      <c r="F73" s="303" t="s">
        <v>12</v>
      </c>
      <c r="G73" s="302" t="s">
        <v>3420</v>
      </c>
      <c r="H73" s="315"/>
      <c r="J73" s="270">
        <v>46150.0</v>
      </c>
      <c r="K73" s="109" t="s">
        <v>3421</v>
      </c>
      <c r="L73" s="109" t="s">
        <v>3422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3423</v>
      </c>
      <c r="AB73" s="109" t="s">
        <v>3424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3425</v>
      </c>
      <c r="D74" s="277" t="s">
        <v>3426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3427</v>
      </c>
      <c r="L74" s="109" t="s">
        <v>3428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3429</v>
      </c>
      <c r="AB74" s="109" t="s">
        <v>3430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3431</v>
      </c>
      <c r="D75" s="277" t="s">
        <v>3432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3433</v>
      </c>
      <c r="L75" s="109" t="s">
        <v>3434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3435</v>
      </c>
      <c r="AB75" s="109" t="s">
        <v>3435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3436</v>
      </c>
      <c r="D76" s="277" t="s">
        <v>3437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3438</v>
      </c>
      <c r="L76" s="429" t="s">
        <v>3439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3440</v>
      </c>
      <c r="AB76" s="273" t="s">
        <v>3441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3442</v>
      </c>
      <c r="D77" s="277" t="s">
        <v>3443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3444</v>
      </c>
      <c r="L77" s="109" t="s">
        <v>3445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3446</v>
      </c>
      <c r="AB77" s="294" t="s">
        <v>3447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3448</v>
      </c>
      <c r="D78" s="277" t="s">
        <v>3449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3450</v>
      </c>
      <c r="L78" s="109" t="s">
        <v>3451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3452</v>
      </c>
      <c r="AB78" s="273" t="s">
        <v>3453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3454</v>
      </c>
      <c r="D79" s="277" t="s">
        <v>3455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3456</v>
      </c>
      <c r="L79" s="109" t="s">
        <v>3457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3458</v>
      </c>
      <c r="AB79" s="294" t="s">
        <v>3459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3460</v>
      </c>
      <c r="D80" s="277" t="s">
        <v>3461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3462</v>
      </c>
      <c r="L80" s="109" t="s">
        <v>3463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3464</v>
      </c>
      <c r="AB80" s="273" t="s">
        <v>3465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3466</v>
      </c>
      <c r="D81" s="277" t="s">
        <v>3467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3468</v>
      </c>
      <c r="L81" s="109" t="s">
        <v>3469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3470</v>
      </c>
      <c r="AB81" s="430" t="s">
        <v>3471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3472</v>
      </c>
      <c r="D82" s="277" t="s">
        <v>3473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3474</v>
      </c>
      <c r="L82" s="109" t="s">
        <v>3475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3476</v>
      </c>
      <c r="AB82" s="294" t="s">
        <v>3477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3478</v>
      </c>
      <c r="D83" s="277" t="s">
        <v>3479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3480</v>
      </c>
      <c r="L83" s="109" t="s">
        <v>3481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3482</v>
      </c>
      <c r="AB83" s="273" t="s">
        <v>3483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3484</v>
      </c>
      <c r="D84" s="277" t="s">
        <v>3485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3486</v>
      </c>
      <c r="L84" s="109" t="s">
        <v>3487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3488</v>
      </c>
      <c r="AB84" s="417" t="s">
        <v>3489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3490</v>
      </c>
      <c r="D85" s="326" t="s">
        <v>3491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3492</v>
      </c>
      <c r="L85" s="109" t="s">
        <v>3493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3494</v>
      </c>
      <c r="AB85" s="109" t="s">
        <v>3495</v>
      </c>
      <c r="AC85" s="58" t="s">
        <v>15</v>
      </c>
      <c r="AD85" s="58" t="s">
        <v>20</v>
      </c>
      <c r="AE85" s="109" t="s">
        <v>3496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3497</v>
      </c>
      <c r="D86" s="326" t="s">
        <v>3498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3499</v>
      </c>
      <c r="L86" s="109" t="s">
        <v>3500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3501</v>
      </c>
      <c r="AB86" s="109" t="s">
        <v>3502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3503</v>
      </c>
      <c r="D87" s="326" t="s">
        <v>3504</v>
      </c>
      <c r="E87" s="370" t="s">
        <v>24</v>
      </c>
      <c r="F87" s="370" t="s">
        <v>14</v>
      </c>
      <c r="G87" s="435" t="s">
        <v>3505</v>
      </c>
      <c r="H87" s="371" t="b">
        <v>1</v>
      </c>
      <c r="J87" s="270"/>
      <c r="K87" s="109" t="s">
        <v>3506</v>
      </c>
      <c r="L87" s="109" t="s">
        <v>3507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3508</v>
      </c>
      <c r="AB87" s="109" t="s">
        <v>3509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3510</v>
      </c>
      <c r="D88" s="326" t="s">
        <v>3511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3512</v>
      </c>
      <c r="L88" s="109" t="s">
        <v>3513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3514</v>
      </c>
      <c r="AB88" s="109" t="s">
        <v>3515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3516</v>
      </c>
      <c r="D89" s="326" t="s">
        <v>3517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3518</v>
      </c>
      <c r="L89" s="109" t="s">
        <v>3519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3520</v>
      </c>
      <c r="AB89" s="109" t="s">
        <v>3521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3522</v>
      </c>
      <c r="D90" s="326" t="s">
        <v>3523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3524</v>
      </c>
      <c r="L90" s="109" t="s">
        <v>3525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3526</v>
      </c>
      <c r="AB90" s="294" t="s">
        <v>3527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3528</v>
      </c>
      <c r="D91" s="326" t="s">
        <v>3529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3530</v>
      </c>
      <c r="L91" s="109" t="s">
        <v>3531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3532</v>
      </c>
      <c r="AB91" s="273" t="s">
        <v>3533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3534</v>
      </c>
      <c r="D92" s="326" t="s">
        <v>3535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3536</v>
      </c>
      <c r="L92" s="109" t="s">
        <v>3537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3538</v>
      </c>
      <c r="AB92" s="294" t="s">
        <v>3539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3540</v>
      </c>
      <c r="D93" s="326" t="s">
        <v>3541</v>
      </c>
      <c r="E93" s="370" t="s">
        <v>22</v>
      </c>
      <c r="F93" s="370" t="s">
        <v>12</v>
      </c>
      <c r="G93" s="326" t="s">
        <v>3542</v>
      </c>
      <c r="H93" s="371"/>
      <c r="J93" s="270"/>
      <c r="K93" s="109" t="s">
        <v>3543</v>
      </c>
      <c r="L93" s="439" t="s">
        <v>3544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3545</v>
      </c>
      <c r="AB93" s="273" t="s">
        <v>3546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3547</v>
      </c>
      <c r="D94" s="326" t="s">
        <v>3548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3549</v>
      </c>
      <c r="L94" s="440" t="s">
        <v>3550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3551</v>
      </c>
      <c r="AB94" s="417" t="s">
        <v>3552</v>
      </c>
      <c r="AC94" s="391"/>
      <c r="AD94" s="295" t="s">
        <v>2337</v>
      </c>
      <c r="AE94" s="438" t="s">
        <v>3553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3554</v>
      </c>
      <c r="D95" s="326" t="s">
        <v>3555</v>
      </c>
      <c r="E95" s="370" t="s">
        <v>22</v>
      </c>
      <c r="F95" s="370" t="s">
        <v>12</v>
      </c>
      <c r="G95" s="435" t="s">
        <v>3556</v>
      </c>
      <c r="H95" s="371" t="b">
        <v>1</v>
      </c>
      <c r="J95" s="270"/>
      <c r="K95" s="109" t="s">
        <v>3557</v>
      </c>
      <c r="L95" s="109" t="s">
        <v>3558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3559</v>
      </c>
      <c r="AB95" s="109" t="s">
        <v>3560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3561</v>
      </c>
      <c r="D96" s="326" t="s">
        <v>3562</v>
      </c>
      <c r="E96" s="370" t="s">
        <v>22</v>
      </c>
      <c r="F96" s="370" t="s">
        <v>12</v>
      </c>
      <c r="G96" s="435" t="s">
        <v>3556</v>
      </c>
      <c r="H96" s="371" t="b">
        <v>1</v>
      </c>
      <c r="J96" s="270"/>
      <c r="K96" s="109" t="s">
        <v>3563</v>
      </c>
      <c r="L96" s="109" t="s">
        <v>3564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3565</v>
      </c>
      <c r="AB96" s="109" t="s">
        <v>3566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3567</v>
      </c>
      <c r="D97" s="326" t="s">
        <v>3568</v>
      </c>
      <c r="E97" s="370" t="s">
        <v>22</v>
      </c>
      <c r="F97" s="370" t="s">
        <v>12</v>
      </c>
      <c r="G97" s="326" t="s">
        <v>3569</v>
      </c>
      <c r="H97" s="371"/>
      <c r="J97" s="270"/>
      <c r="K97" s="109" t="s">
        <v>3570</v>
      </c>
      <c r="L97" s="109" t="s">
        <v>3571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3572</v>
      </c>
      <c r="AB97" s="109" t="s">
        <v>3573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3574</v>
      </c>
      <c r="D98" s="326" t="s">
        <v>3575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3576</v>
      </c>
      <c r="L98" s="109" t="s">
        <v>3577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3578</v>
      </c>
      <c r="AB98" s="109" t="s">
        <v>3579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3580</v>
      </c>
      <c r="D99" s="326" t="s">
        <v>3581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3582</v>
      </c>
      <c r="L99" s="109" t="s">
        <v>3583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3584</v>
      </c>
      <c r="AB99" s="109" t="s">
        <v>3585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3586</v>
      </c>
      <c r="D100" s="326" t="s">
        <v>3587</v>
      </c>
      <c r="E100" s="370" t="s">
        <v>10</v>
      </c>
      <c r="F100" s="370" t="s">
        <v>9</v>
      </c>
      <c r="G100" s="435" t="s">
        <v>3588</v>
      </c>
      <c r="H100" s="371" t="b">
        <v>1</v>
      </c>
      <c r="J100" s="270"/>
      <c r="K100" s="109" t="s">
        <v>3589</v>
      </c>
      <c r="L100" s="109" t="s">
        <v>3590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3591</v>
      </c>
      <c r="AB100" s="109" t="s">
        <v>3592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3593</v>
      </c>
      <c r="D101" s="326" t="s">
        <v>3594</v>
      </c>
      <c r="E101" s="370" t="s">
        <v>44</v>
      </c>
      <c r="F101" s="370" t="s">
        <v>9</v>
      </c>
      <c r="G101" s="435" t="s">
        <v>3588</v>
      </c>
      <c r="H101" s="371" t="b">
        <v>1</v>
      </c>
      <c r="J101" s="270"/>
      <c r="K101" s="109" t="s">
        <v>3595</v>
      </c>
      <c r="L101" s="109" t="s">
        <v>3596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3597</v>
      </c>
      <c r="AB101" s="109" t="s">
        <v>3598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3599</v>
      </c>
      <c r="D102" s="326" t="s">
        <v>3600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3601</v>
      </c>
      <c r="L102" s="109" t="s">
        <v>3602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3603</v>
      </c>
      <c r="AB102" s="109" t="s">
        <v>3604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3605</v>
      </c>
      <c r="D103" s="326" t="s">
        <v>3606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3607</v>
      </c>
      <c r="L103" s="109" t="s">
        <v>3608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3609</v>
      </c>
      <c r="AB103" s="273" t="s">
        <v>3610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3611</v>
      </c>
      <c r="D104" s="326" t="s">
        <v>3612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3613</v>
      </c>
      <c r="L104" s="109" t="s">
        <v>3614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3615</v>
      </c>
      <c r="AB104" s="294" t="s">
        <v>3616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3617</v>
      </c>
      <c r="D105" s="326" t="s">
        <v>3618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3619</v>
      </c>
      <c r="L105" s="109" t="s">
        <v>3620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3621</v>
      </c>
      <c r="AB105" s="273" t="s">
        <v>3622</v>
      </c>
      <c r="AC105" s="383" t="s">
        <v>27</v>
      </c>
      <c r="AD105" s="383" t="s">
        <v>2338</v>
      </c>
      <c r="AE105" s="109" t="s">
        <v>3623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3624</v>
      </c>
      <c r="D106" s="326" t="s">
        <v>3625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3626</v>
      </c>
      <c r="L106" s="297" t="s">
        <v>3627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3628</v>
      </c>
      <c r="AB106" s="294" t="s">
        <v>3629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3630</v>
      </c>
      <c r="D107" s="326" t="s">
        <v>3631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3632</v>
      </c>
      <c r="L107" s="109" t="s">
        <v>3633</v>
      </c>
      <c r="M107" s="58" t="s">
        <v>18</v>
      </c>
      <c r="N107" s="58" t="s">
        <v>14</v>
      </c>
      <c r="O107" s="109" t="s">
        <v>3634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3635</v>
      </c>
      <c r="AB107" s="273" t="s">
        <v>3636</v>
      </c>
      <c r="AC107" s="274" t="s">
        <v>27</v>
      </c>
      <c r="AD107" s="442" t="s">
        <v>2338</v>
      </c>
      <c r="AE107" s="109" t="s">
        <v>3637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3638</v>
      </c>
      <c r="D108" s="326" t="s">
        <v>3639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3640</v>
      </c>
      <c r="L108" s="109" t="s">
        <v>3641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3642</v>
      </c>
      <c r="AB108" s="109" t="s">
        <v>3643</v>
      </c>
      <c r="AC108" s="58" t="s">
        <v>25</v>
      </c>
      <c r="AD108" s="58" t="s">
        <v>28</v>
      </c>
      <c r="AE108" s="109" t="s">
        <v>3644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3645</v>
      </c>
      <c r="D109" s="326" t="s">
        <v>3646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3647</v>
      </c>
      <c r="L109" s="326" t="s">
        <v>3648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3649</v>
      </c>
      <c r="D110" s="326" t="s">
        <v>3650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3651</v>
      </c>
      <c r="L110" s="326" t="s">
        <v>3652</v>
      </c>
      <c r="M110" s="370" t="s">
        <v>27</v>
      </c>
      <c r="N110" s="370" t="s">
        <v>2338</v>
      </c>
      <c r="O110" s="326" t="s">
        <v>3653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3654</v>
      </c>
      <c r="D111" s="326" t="s">
        <v>3655</v>
      </c>
      <c r="E111" s="370" t="s">
        <v>22</v>
      </c>
      <c r="F111" s="370" t="s">
        <v>14</v>
      </c>
      <c r="G111" s="326" t="s">
        <v>3656</v>
      </c>
      <c r="H111" s="371" t="b">
        <v>1</v>
      </c>
      <c r="J111" s="369"/>
      <c r="K111" s="109" t="s">
        <v>3657</v>
      </c>
      <c r="L111" s="109" t="s">
        <v>3658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3659</v>
      </c>
      <c r="D112" s="326" t="s">
        <v>3660</v>
      </c>
      <c r="E112" s="370" t="s">
        <v>22</v>
      </c>
      <c r="F112" s="370" t="s">
        <v>14</v>
      </c>
      <c r="G112" s="326" t="s">
        <v>3656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3661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3662</v>
      </c>
      <c r="D113" s="326" t="s">
        <v>3663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3664</v>
      </c>
      <c r="D114" s="326" t="s">
        <v>3665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3666</v>
      </c>
      <c r="D115" s="326" t="s">
        <v>3667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3668</v>
      </c>
      <c r="D116" s="326" t="s">
        <v>3669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3670</v>
      </c>
      <c r="D117" s="326" t="s">
        <v>3671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3672</v>
      </c>
      <c r="D118" s="326" t="s">
        <v>3673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3674</v>
      </c>
      <c r="D119" s="326" t="s">
        <v>3675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1010 BH2 AY11 AR12">
    <cfRule type="expression" dxfId="12" priority="18">
      <formula>COUNTIF(AA:AA, AA1)&gt;1</formula>
    </cfRule>
  </conditionalFormatting>
  <conditionalFormatting sqref="AB1:AB1010 AR1:AR1010 BH1:BH1010 AZ11 AS12 AA33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  <hyperlink r:id="rId6" ref="BH50"/>
  </hyperlinks>
  <drawing r:id="rId7"/>
  <legacyDrawing r:id="rId8"/>
  <tableParts count="8">
    <tablePart r:id="rId17"/>
    <tablePart r:id="rId18"/>
    <tablePart r:id="rId19"/>
    <tablePart r:id="rId20"/>
    <tablePart r:id="rId21"/>
    <tablePart r:id="rId22"/>
    <tablePart r:id="rId23"/>
    <tablePart r:id="rId2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3676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0</v>
      </c>
      <c r="F19" s="246">
        <f t="shared" ref="F19:F21" si="1">C19-E19</f>
        <v>30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0</v>
      </c>
      <c r="L19" s="33">
        <f t="shared" ref="L19:L23" si="2">I19-K19</f>
        <v>5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0</v>
      </c>
      <c r="F20" s="246">
        <f t="shared" si="1"/>
        <v>15</v>
      </c>
      <c r="G20" s="10"/>
      <c r="H20" s="22" t="s">
        <v>18</v>
      </c>
      <c r="I20" s="36">
        <v>10.0</v>
      </c>
      <c r="J20" s="10"/>
      <c r="K20" s="33">
        <f>SUMIF($K$4:$K$17, H20,$L$4:$L$17)</f>
        <v>0</v>
      </c>
      <c r="L20" s="33">
        <f t="shared" si="2"/>
        <v>10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0</v>
      </c>
      <c r="F21" s="246">
        <f t="shared" si="1"/>
        <v>15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0</v>
      </c>
      <c r="L21" s="33">
        <f t="shared" si="2"/>
        <v>20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0</v>
      </c>
      <c r="L22" s="33">
        <f t="shared" si="2"/>
        <v>15</v>
      </c>
    </row>
    <row r="23" outlineLevel="1">
      <c r="D23" s="10"/>
      <c r="E23" s="37" t="s">
        <v>41</v>
      </c>
      <c r="F23" s="38">
        <f>SUM(F19:F21)</f>
        <v>60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0</v>
      </c>
      <c r="L23" s="33">
        <f t="shared" si="2"/>
        <v>10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60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3677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3678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3678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3679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3680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/>
      <c r="C2" s="109"/>
      <c r="D2" s="373"/>
      <c r="E2" s="58"/>
      <c r="F2" s="58"/>
      <c r="G2" s="61"/>
      <c r="H2" s="269"/>
      <c r="J2" s="270"/>
      <c r="K2" s="109"/>
      <c r="L2" s="109"/>
      <c r="M2" s="271"/>
      <c r="N2" s="271"/>
      <c r="O2" s="61"/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/>
      <c r="C3" s="109"/>
      <c r="D3" s="373"/>
      <c r="E3" s="58"/>
      <c r="F3" s="58"/>
      <c r="G3" s="61"/>
      <c r="H3" s="269"/>
      <c r="J3" s="270"/>
      <c r="K3" s="109"/>
      <c r="L3" s="109"/>
      <c r="M3" s="271"/>
      <c r="N3" s="271"/>
      <c r="O3" s="109"/>
      <c r="P3" s="269"/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/>
      <c r="C4" s="109"/>
      <c r="D4" s="373"/>
      <c r="E4" s="58"/>
      <c r="F4" s="58"/>
      <c r="G4" s="61"/>
      <c r="H4" s="269"/>
      <c r="J4" s="270"/>
      <c r="K4" s="109"/>
      <c r="L4" s="109"/>
      <c r="M4" s="271"/>
      <c r="N4" s="271"/>
      <c r="O4" s="109"/>
      <c r="P4" s="269"/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/>
      <c r="C5" s="109"/>
      <c r="D5" s="373"/>
      <c r="E5" s="58"/>
      <c r="F5" s="58"/>
      <c r="G5" s="61"/>
      <c r="H5" s="269"/>
      <c r="J5" s="270"/>
      <c r="K5" s="109"/>
      <c r="L5" s="109"/>
      <c r="M5" s="271"/>
      <c r="N5" s="271"/>
      <c r="O5" s="109"/>
      <c r="P5" s="269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/>
      <c r="C6" s="109"/>
      <c r="D6" s="373"/>
      <c r="E6" s="58"/>
      <c r="F6" s="58"/>
      <c r="G6" s="61"/>
      <c r="H6" s="269"/>
      <c r="J6" s="270"/>
      <c r="K6" s="109"/>
      <c r="L6" s="109"/>
      <c r="M6" s="271"/>
      <c r="N6" s="271"/>
      <c r="O6" s="109"/>
      <c r="P6" s="269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/>
      <c r="C7" s="109"/>
      <c r="D7" s="373"/>
      <c r="E7" s="58"/>
      <c r="F7" s="58"/>
      <c r="G7" s="61"/>
      <c r="H7" s="269"/>
      <c r="J7" s="270"/>
      <c r="K7" s="109"/>
      <c r="L7" s="109"/>
      <c r="M7" s="271"/>
      <c r="N7" s="271"/>
      <c r="O7" s="109"/>
      <c r="P7" s="269"/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/>
      <c r="C8" s="109"/>
      <c r="D8" s="373"/>
      <c r="E8" s="58"/>
      <c r="F8" s="58"/>
      <c r="G8" s="61"/>
      <c r="H8" s="269"/>
      <c r="J8" s="270"/>
      <c r="K8" s="109"/>
      <c r="L8" s="109"/>
      <c r="M8" s="271"/>
      <c r="N8" s="271"/>
      <c r="O8" s="109"/>
      <c r="P8" s="269"/>
      <c r="R8" s="270"/>
      <c r="S8" s="109"/>
      <c r="T8" s="446"/>
      <c r="U8" s="58"/>
      <c r="V8" s="58"/>
      <c r="W8" s="109"/>
      <c r="X8" s="269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69"/>
      <c r="AP8" s="270"/>
      <c r="AQ8" s="109"/>
      <c r="AR8" s="109"/>
      <c r="AS8" s="58"/>
      <c r="AT8" s="58"/>
      <c r="AU8" s="61"/>
      <c r="AV8" s="269"/>
      <c r="AX8" s="379"/>
      <c r="AY8" s="109"/>
      <c r="AZ8" s="37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/>
      <c r="C9" s="109"/>
      <c r="D9" s="373"/>
      <c r="E9" s="58"/>
      <c r="F9" s="58"/>
      <c r="G9" s="61"/>
      <c r="H9" s="269"/>
      <c r="J9" s="270"/>
      <c r="K9" s="109"/>
      <c r="L9" s="109"/>
      <c r="M9" s="58"/>
      <c r="N9" s="58"/>
      <c r="O9" s="109"/>
      <c r="P9" s="269"/>
      <c r="R9" s="457"/>
      <c r="S9" s="458"/>
      <c r="T9" s="450"/>
      <c r="U9" s="452"/>
      <c r="V9" s="459"/>
      <c r="W9" s="109"/>
      <c r="X9" s="298"/>
      <c r="Z9" s="270"/>
      <c r="AA9" s="109"/>
      <c r="AB9" s="109"/>
      <c r="AC9" s="58"/>
      <c r="AD9" s="58"/>
      <c r="AE9" s="61"/>
      <c r="AF9" s="269"/>
      <c r="AH9" s="379"/>
      <c r="AI9" s="109"/>
      <c r="AJ9" s="373"/>
      <c r="AK9" s="58"/>
      <c r="AL9" s="58"/>
      <c r="AM9" s="61"/>
      <c r="AN9" s="298"/>
      <c r="AP9" s="270"/>
      <c r="AQ9" s="109"/>
      <c r="AR9" s="109"/>
      <c r="AS9" s="58"/>
      <c r="AT9" s="58"/>
      <c r="AU9" s="61"/>
      <c r="AV9" s="269"/>
      <c r="AX9" s="379"/>
      <c r="AY9" s="384"/>
      <c r="AZ9" s="460"/>
      <c r="BA9" s="58"/>
      <c r="BB9" s="58"/>
      <c r="BC9" s="61"/>
      <c r="BD9" s="269"/>
      <c r="BF9" s="270"/>
      <c r="BG9" s="109"/>
      <c r="BH9" s="109"/>
      <c r="BI9" s="58"/>
      <c r="BJ9" s="58"/>
      <c r="BK9" s="61"/>
      <c r="BL9" s="269"/>
    </row>
    <row r="10" ht="22.5" customHeight="1">
      <c r="A10" s="368"/>
      <c r="B10" s="270"/>
      <c r="C10" s="109"/>
      <c r="D10" s="373"/>
      <c r="E10" s="58"/>
      <c r="F10" s="58"/>
      <c r="G10" s="61"/>
      <c r="H10" s="269"/>
      <c r="J10" s="270"/>
      <c r="K10" s="109"/>
      <c r="L10" s="109"/>
      <c r="M10" s="58"/>
      <c r="N10" s="58"/>
      <c r="O10" s="109"/>
      <c r="P10" s="269"/>
      <c r="R10" s="457"/>
      <c r="S10" s="461"/>
      <c r="T10" s="461"/>
      <c r="U10" s="462"/>
      <c r="V10" s="463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109"/>
      <c r="AN10" s="298"/>
      <c r="AP10" s="449"/>
      <c r="AQ10" s="450"/>
      <c r="AR10" s="450"/>
      <c r="AS10" s="462"/>
      <c r="AT10" s="452"/>
      <c r="AU10" s="109"/>
      <c r="AV10" s="298"/>
      <c r="AX10" s="379"/>
      <c r="AY10" s="384"/>
      <c r="AZ10" s="464"/>
      <c r="BA10" s="58"/>
      <c r="BB10" s="58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/>
      <c r="C11" s="109"/>
      <c r="D11" s="373"/>
      <c r="E11" s="58"/>
      <c r="F11" s="58"/>
      <c r="G11" s="61"/>
      <c r="H11" s="269"/>
      <c r="J11" s="270"/>
      <c r="K11" s="109"/>
      <c r="L11" s="109"/>
      <c r="M11" s="58"/>
      <c r="N11" s="58"/>
      <c r="O11" s="109"/>
      <c r="P11" s="269"/>
      <c r="R11" s="270"/>
      <c r="S11" s="109"/>
      <c r="T11" s="109"/>
      <c r="U11" s="58"/>
      <c r="V11" s="58"/>
      <c r="W11" s="61"/>
      <c r="X11" s="269"/>
      <c r="Z11" s="270"/>
      <c r="AA11" s="109"/>
      <c r="AB11" s="109"/>
      <c r="AC11" s="58"/>
      <c r="AD11" s="58"/>
      <c r="AE11" s="61"/>
      <c r="AF11" s="269"/>
      <c r="AH11" s="379"/>
      <c r="AI11" s="384"/>
      <c r="AJ11" s="373"/>
      <c r="AK11" s="58"/>
      <c r="AL11" s="58"/>
      <c r="AM11" s="61"/>
      <c r="AN11" s="269"/>
      <c r="AP11" s="449"/>
      <c r="AQ11" s="453"/>
      <c r="AR11" s="453"/>
      <c r="AS11" s="465"/>
      <c r="AT11" s="451"/>
      <c r="AU11" s="109"/>
      <c r="AV11" s="298"/>
      <c r="AX11" s="270"/>
      <c r="AY11" s="109"/>
      <c r="AZ11" s="109"/>
      <c r="BA11" s="344"/>
      <c r="BB11" s="344"/>
      <c r="BC11" s="61"/>
      <c r="BD11" s="269"/>
      <c r="BF11" s="270"/>
      <c r="BG11" s="109"/>
      <c r="BH11" s="109"/>
      <c r="BI11" s="58"/>
      <c r="BJ11" s="58"/>
      <c r="BK11" s="109"/>
      <c r="BL11" s="298"/>
    </row>
    <row r="12" ht="22.5" customHeight="1">
      <c r="A12" s="368"/>
      <c r="B12" s="270"/>
      <c r="C12" s="109"/>
      <c r="D12" s="373"/>
      <c r="E12" s="58"/>
      <c r="F12" s="58"/>
      <c r="G12" s="61"/>
      <c r="H12" s="269"/>
      <c r="J12" s="270"/>
      <c r="K12" s="109"/>
      <c r="L12" s="109"/>
      <c r="M12" s="58"/>
      <c r="N12" s="58"/>
      <c r="O12" s="109"/>
      <c r="P12" s="269"/>
      <c r="R12" s="270"/>
      <c r="S12" s="109"/>
      <c r="T12" s="109"/>
      <c r="U12" s="58"/>
      <c r="V12" s="58"/>
      <c r="W12" s="109"/>
      <c r="X12" s="269"/>
      <c r="Z12" s="270"/>
      <c r="AA12" s="109"/>
      <c r="AB12" s="109"/>
      <c r="AC12" s="58"/>
      <c r="AD12" s="58"/>
      <c r="AE12" s="61"/>
      <c r="AF12" s="269"/>
      <c r="AH12" s="270"/>
      <c r="AI12" s="384"/>
      <c r="AJ12" s="373"/>
      <c r="AK12" s="58"/>
      <c r="AL12" s="58"/>
      <c r="AM12" s="61"/>
      <c r="AN12" s="269"/>
      <c r="AP12" s="449"/>
      <c r="AQ12" s="109"/>
      <c r="AR12" s="109"/>
      <c r="AS12" s="344"/>
      <c r="AT12" s="344"/>
      <c r="AU12" s="109"/>
      <c r="AV12" s="298"/>
      <c r="AX12" s="379"/>
      <c r="AY12" s="109"/>
      <c r="AZ12" s="109"/>
      <c r="BA12" s="58"/>
      <c r="BB12" s="58"/>
      <c r="BC12" s="109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/>
      <c r="C13" s="109"/>
      <c r="D13" s="373"/>
      <c r="E13" s="58"/>
      <c r="F13" s="58"/>
      <c r="G13" s="61"/>
      <c r="H13" s="269"/>
      <c r="J13" s="270"/>
      <c r="K13" s="109"/>
      <c r="L13" s="109"/>
      <c r="M13" s="344"/>
      <c r="N13" s="344"/>
      <c r="O13" s="109"/>
      <c r="P13" s="298"/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58"/>
      <c r="AD13" s="58"/>
      <c r="AE13" s="109"/>
      <c r="AF13" s="269"/>
      <c r="AH13" s="270"/>
      <c r="AI13" s="109"/>
      <c r="AJ13" s="373"/>
      <c r="AK13" s="58"/>
      <c r="AL13" s="58"/>
      <c r="AM13" s="61"/>
      <c r="AN13" s="269"/>
      <c r="AP13" s="449"/>
      <c r="AQ13" s="453"/>
      <c r="AR13" s="453"/>
      <c r="AS13" s="465"/>
      <c r="AT13" s="454"/>
      <c r="AU13" s="109"/>
      <c r="AV13" s="298"/>
      <c r="AX13" s="379"/>
      <c r="AY13" s="109"/>
      <c r="AZ13" s="109"/>
      <c r="BA13" s="58"/>
      <c r="BB13" s="58"/>
      <c r="BC13" s="61"/>
      <c r="BD13" s="269"/>
      <c r="BF13" s="270"/>
      <c r="BG13" s="109"/>
      <c r="BH13" s="109"/>
      <c r="BI13" s="58"/>
      <c r="BJ13" s="58"/>
      <c r="BK13" s="61"/>
      <c r="BL13" s="269"/>
    </row>
    <row r="14" ht="22.5" customHeight="1">
      <c r="A14" s="368"/>
      <c r="B14" s="270"/>
      <c r="C14" s="109"/>
      <c r="D14" s="373"/>
      <c r="E14" s="58"/>
      <c r="F14" s="58"/>
      <c r="G14" s="61"/>
      <c r="H14" s="269"/>
      <c r="J14" s="270"/>
      <c r="K14" s="109"/>
      <c r="L14" s="109"/>
      <c r="M14" s="58"/>
      <c r="N14" s="58"/>
      <c r="O14" s="109"/>
      <c r="P14" s="269"/>
      <c r="R14" s="270"/>
      <c r="S14" s="109"/>
      <c r="T14" s="109"/>
      <c r="U14" s="58"/>
      <c r="V14" s="58"/>
      <c r="W14" s="61"/>
      <c r="X14" s="269"/>
      <c r="Z14" s="270"/>
      <c r="AA14" s="109"/>
      <c r="AB14" s="109"/>
      <c r="AC14" s="344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379"/>
      <c r="AY14" s="109"/>
      <c r="AZ14" s="109"/>
      <c r="BA14" s="344"/>
      <c r="BB14" s="58"/>
      <c r="BC14" s="109"/>
      <c r="BD14" s="298"/>
      <c r="BF14" s="466"/>
      <c r="BG14" s="453"/>
      <c r="BH14" s="453"/>
      <c r="BI14" s="467"/>
      <c r="BJ14" s="455"/>
      <c r="BK14" s="61"/>
      <c r="BL14" s="269"/>
    </row>
    <row r="15" ht="22.5" customHeight="1">
      <c r="A15" s="368"/>
      <c r="B15" s="270"/>
      <c r="C15" s="109"/>
      <c r="D15" s="373"/>
      <c r="E15" s="58"/>
      <c r="F15" s="58"/>
      <c r="G15" s="61"/>
      <c r="H15" s="269"/>
      <c r="J15" s="270"/>
      <c r="K15" s="109"/>
      <c r="L15" s="109"/>
      <c r="M15" s="58"/>
      <c r="N15" s="58"/>
      <c r="O15" s="61"/>
      <c r="P15" s="298"/>
      <c r="R15" s="270"/>
      <c r="S15" s="109"/>
      <c r="T15" s="109"/>
      <c r="U15" s="58"/>
      <c r="V15" s="58"/>
      <c r="W15" s="109"/>
      <c r="X15" s="269"/>
      <c r="Z15" s="270"/>
      <c r="AA15" s="109"/>
      <c r="AB15" s="109"/>
      <c r="AC15" s="58"/>
      <c r="AD15" s="58"/>
      <c r="AE15" s="109"/>
      <c r="AF15" s="298"/>
      <c r="AH15" s="270"/>
      <c r="AI15" s="109"/>
      <c r="AJ15" s="373"/>
      <c r="AK15" s="58"/>
      <c r="AL15" s="58"/>
      <c r="AM15" s="61"/>
      <c r="AN15" s="269"/>
      <c r="AP15" s="270"/>
      <c r="AQ15" s="109"/>
      <c r="AR15" s="109"/>
      <c r="AS15" s="58"/>
      <c r="AT15" s="58"/>
      <c r="AU15" s="61"/>
      <c r="AV15" s="269"/>
      <c r="AX15" s="270"/>
      <c r="AY15" s="384"/>
      <c r="AZ15" s="460"/>
      <c r="BA15" s="58"/>
      <c r="BB15" s="58"/>
      <c r="BC15" s="61"/>
      <c r="BD15" s="269"/>
      <c r="BF15" s="468"/>
      <c r="BG15" s="450"/>
      <c r="BH15" s="450"/>
      <c r="BI15" s="452"/>
      <c r="BJ15" s="452"/>
      <c r="BK15" s="61"/>
      <c r="BL15" s="269"/>
    </row>
    <row r="16" ht="22.5" customHeight="1">
      <c r="A16" s="368"/>
      <c r="B16" s="270"/>
      <c r="C16" s="109"/>
      <c r="D16" s="373"/>
      <c r="E16" s="58"/>
      <c r="F16" s="58"/>
      <c r="G16" s="61"/>
      <c r="H16" s="269"/>
      <c r="J16" s="270"/>
      <c r="K16" s="109"/>
      <c r="L16" s="109"/>
      <c r="M16" s="58"/>
      <c r="N16" s="58"/>
      <c r="O16" s="61"/>
      <c r="P16" s="269"/>
      <c r="R16" s="270"/>
      <c r="S16" s="109"/>
      <c r="T16" s="109"/>
      <c r="U16" s="58"/>
      <c r="V16" s="58"/>
      <c r="W16" s="61"/>
      <c r="X16" s="269"/>
      <c r="Z16" s="270"/>
      <c r="AA16" s="384"/>
      <c r="AB16" s="109"/>
      <c r="AC16" s="344"/>
      <c r="AD16" s="344"/>
      <c r="AE16" s="109"/>
      <c r="AF16" s="298"/>
      <c r="AH16" s="270"/>
      <c r="AI16" s="109"/>
      <c r="AJ16" s="373"/>
      <c r="AK16" s="344"/>
      <c r="AL16" s="58"/>
      <c r="AM16" s="109"/>
      <c r="AN16" s="298"/>
      <c r="AP16" s="270"/>
      <c r="AQ16" s="109"/>
      <c r="AR16" s="109"/>
      <c r="AS16" s="58"/>
      <c r="AT16" s="58"/>
      <c r="AU16" s="109"/>
      <c r="AV16" s="269"/>
      <c r="AX16" s="270"/>
      <c r="AY16" s="384"/>
      <c r="AZ16" s="439"/>
      <c r="BA16" s="58"/>
      <c r="BB16" s="58"/>
      <c r="BC16" s="61"/>
      <c r="BD16" s="269"/>
      <c r="BF16" s="466"/>
      <c r="BG16" s="453"/>
      <c r="BH16" s="453"/>
      <c r="BI16" s="455"/>
      <c r="BJ16" s="455"/>
      <c r="BK16" s="109"/>
      <c r="BL16" s="269"/>
    </row>
    <row r="17" ht="22.5" customHeight="1">
      <c r="A17" s="368"/>
      <c r="B17" s="270"/>
      <c r="C17" s="109"/>
      <c r="D17" s="373"/>
      <c r="E17" s="58"/>
      <c r="F17" s="58"/>
      <c r="G17" s="61"/>
      <c r="H17" s="269"/>
      <c r="J17" s="270"/>
      <c r="K17" s="109"/>
      <c r="L17" s="109"/>
      <c r="M17" s="58"/>
      <c r="N17" s="58"/>
      <c r="O17" s="61"/>
      <c r="P17" s="269"/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61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0"/>
      <c r="BA17" s="58"/>
      <c r="BB17" s="58"/>
      <c r="BC17" s="61"/>
      <c r="BD17" s="269"/>
      <c r="BF17" s="468"/>
      <c r="BG17" s="450"/>
      <c r="BH17" s="450"/>
      <c r="BI17" s="452"/>
      <c r="BJ17" s="452"/>
      <c r="BK17" s="61"/>
      <c r="BL17" s="269"/>
    </row>
    <row r="18" ht="22.5" customHeight="1">
      <c r="A18" s="368"/>
      <c r="B18" s="270"/>
      <c r="C18" s="109"/>
      <c r="D18" s="373"/>
      <c r="E18" s="58"/>
      <c r="F18" s="58"/>
      <c r="G18" s="61"/>
      <c r="H18" s="269"/>
      <c r="J18" s="270"/>
      <c r="K18" s="109"/>
      <c r="L18" s="109"/>
      <c r="M18" s="58"/>
      <c r="N18" s="58"/>
      <c r="O18" s="61"/>
      <c r="P18" s="269"/>
      <c r="R18" s="270"/>
      <c r="S18" s="109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109"/>
      <c r="AF18" s="269"/>
      <c r="AH18" s="270"/>
      <c r="AI18" s="384"/>
      <c r="AJ18" s="373"/>
      <c r="AK18" s="58"/>
      <c r="AL18" s="58"/>
      <c r="AM18" s="61"/>
      <c r="AN18" s="269"/>
      <c r="AP18" s="270"/>
      <c r="AQ18" s="109"/>
      <c r="AR18" s="109"/>
      <c r="AS18" s="58"/>
      <c r="AT18" s="58"/>
      <c r="AU18" s="61"/>
      <c r="AV18" s="269"/>
      <c r="AX18" s="270"/>
      <c r="AY18" s="384"/>
      <c r="AZ18" s="460"/>
      <c r="BA18" s="58"/>
      <c r="BB18" s="58"/>
      <c r="BC18" s="61"/>
      <c r="BD18" s="269"/>
      <c r="BF18" s="449"/>
      <c r="BG18" s="450"/>
      <c r="BH18" s="450"/>
      <c r="BI18" s="452"/>
      <c r="BJ18" s="469"/>
      <c r="BK18" s="61"/>
      <c r="BL18" s="269"/>
    </row>
    <row r="19" ht="22.5" customHeight="1">
      <c r="A19" s="368"/>
      <c r="B19" s="270"/>
      <c r="C19" s="109"/>
      <c r="D19" s="373"/>
      <c r="E19" s="58"/>
      <c r="F19" s="58"/>
      <c r="G19" s="61"/>
      <c r="H19" s="269"/>
      <c r="J19" s="270"/>
      <c r="K19" s="109"/>
      <c r="L19" s="109"/>
      <c r="M19" s="58"/>
      <c r="N19" s="58"/>
      <c r="O19" s="109"/>
      <c r="P19" s="269"/>
      <c r="R19" s="270"/>
      <c r="S19" s="384"/>
      <c r="T19" s="109"/>
      <c r="U19" s="58"/>
      <c r="V19" s="58"/>
      <c r="W19" s="61"/>
      <c r="X19" s="269"/>
      <c r="Z19" s="270"/>
      <c r="AA19" s="109"/>
      <c r="AB19" s="109"/>
      <c r="AC19" s="58"/>
      <c r="AD19" s="58"/>
      <c r="AE19" s="61"/>
      <c r="AF19" s="269"/>
      <c r="AH19" s="270"/>
      <c r="AI19" s="109"/>
      <c r="AJ19" s="373"/>
      <c r="AK19" s="344"/>
      <c r="AL19" s="58"/>
      <c r="AM19" s="109"/>
      <c r="AN19" s="298"/>
      <c r="AP19" s="270"/>
      <c r="AQ19" s="109"/>
      <c r="AR19" s="109"/>
      <c r="AS19" s="58"/>
      <c r="AT19" s="58"/>
      <c r="AU19" s="61"/>
      <c r="AV19" s="269"/>
      <c r="AX19" s="270"/>
      <c r="AY19" s="384"/>
      <c r="AZ19" s="460"/>
      <c r="BA19" s="58"/>
      <c r="BB19" s="58"/>
      <c r="BC19" s="61"/>
      <c r="BD19" s="269"/>
      <c r="BF19" s="449"/>
      <c r="BG19" s="453"/>
      <c r="BH19" s="453"/>
      <c r="BI19" s="454"/>
      <c r="BJ19" s="455"/>
      <c r="BK19" s="61"/>
      <c r="BL19" s="269"/>
    </row>
    <row r="20" ht="22.5" customHeight="1">
      <c r="A20" s="368"/>
      <c r="B20" s="270"/>
      <c r="C20" s="109"/>
      <c r="D20" s="373"/>
      <c r="E20" s="58"/>
      <c r="F20" s="58"/>
      <c r="G20" s="61"/>
      <c r="H20" s="269"/>
      <c r="J20" s="270"/>
      <c r="K20" s="109"/>
      <c r="L20" s="109"/>
      <c r="M20" s="58"/>
      <c r="N20" s="58"/>
      <c r="O20" s="61"/>
      <c r="P20" s="269"/>
      <c r="R20" s="270"/>
      <c r="S20" s="384"/>
      <c r="T20" s="109"/>
      <c r="U20" s="58"/>
      <c r="V20" s="58"/>
      <c r="W20" s="109"/>
      <c r="X20" s="269"/>
      <c r="Z20" s="270"/>
      <c r="AA20" s="109"/>
      <c r="AB20" s="109"/>
      <c r="AC20" s="58"/>
      <c r="AD20" s="58"/>
      <c r="AE20" s="61"/>
      <c r="AF20" s="269"/>
      <c r="AH20" s="270"/>
      <c r="AI20" s="384"/>
      <c r="AJ20" s="373"/>
      <c r="AK20" s="81"/>
      <c r="AL20" s="58"/>
      <c r="AM20" s="61"/>
      <c r="AN20" s="269"/>
      <c r="AP20" s="466"/>
      <c r="AQ20" s="453"/>
      <c r="AR20" s="453"/>
      <c r="AS20" s="467"/>
      <c r="AT20" s="455"/>
      <c r="AU20" s="470"/>
      <c r="AV20" s="269"/>
      <c r="AX20" s="270"/>
      <c r="AY20" s="384"/>
      <c r="AZ20" s="460"/>
      <c r="BA20" s="58"/>
      <c r="BB20" s="58"/>
      <c r="BC20" s="61"/>
      <c r="BD20" s="269"/>
      <c r="BF20" s="449"/>
      <c r="BG20" s="453"/>
      <c r="BH20" s="453"/>
      <c r="BI20" s="455"/>
      <c r="BJ20" s="455"/>
      <c r="BK20" s="109"/>
      <c r="BL20" s="298"/>
    </row>
    <row r="21" ht="22.5" customHeight="1">
      <c r="A21" s="368"/>
      <c r="B21" s="270"/>
      <c r="C21" s="109"/>
      <c r="D21" s="373"/>
      <c r="E21" s="58"/>
      <c r="F21" s="58"/>
      <c r="G21" s="61"/>
      <c r="H21" s="269"/>
      <c r="J21" s="270"/>
      <c r="K21" s="109"/>
      <c r="L21" s="109"/>
      <c r="M21" s="58"/>
      <c r="N21" s="58"/>
      <c r="O21" s="61"/>
      <c r="P21" s="269"/>
      <c r="R21" s="270"/>
      <c r="S21" s="384"/>
      <c r="T21" s="109"/>
      <c r="U21" s="58"/>
      <c r="V21" s="58"/>
      <c r="W21" s="61"/>
      <c r="X21" s="269"/>
      <c r="Z21" s="270"/>
      <c r="AA21" s="109"/>
      <c r="AB21" s="407"/>
      <c r="AC21" s="58"/>
      <c r="AD21" s="58"/>
      <c r="AE21" s="109"/>
      <c r="AF21" s="269"/>
      <c r="AH21" s="270"/>
      <c r="AI21" s="384"/>
      <c r="AJ21" s="373"/>
      <c r="AK21" s="58"/>
      <c r="AL21" s="58"/>
      <c r="AM21" s="61"/>
      <c r="AN21" s="269"/>
      <c r="AP21" s="468"/>
      <c r="AQ21" s="450"/>
      <c r="AR21" s="450"/>
      <c r="AS21" s="471"/>
      <c r="AT21" s="452"/>
      <c r="AU21" s="472"/>
      <c r="AV21" s="269"/>
      <c r="AX21" s="270"/>
      <c r="AY21" s="384"/>
      <c r="AZ21" s="460"/>
      <c r="BA21" s="58"/>
      <c r="BB21" s="58"/>
      <c r="BC21" s="61"/>
      <c r="BD21" s="269"/>
      <c r="BF21" s="449"/>
      <c r="BG21" s="450"/>
      <c r="BH21" s="450"/>
      <c r="BI21" s="452"/>
      <c r="BJ21" s="452"/>
      <c r="BK21" s="109"/>
      <c r="BL21" s="298"/>
    </row>
    <row r="22" ht="22.5" customHeight="1">
      <c r="A22" s="368"/>
      <c r="B22" s="270"/>
      <c r="C22" s="109"/>
      <c r="D22" s="373"/>
      <c r="E22" s="58"/>
      <c r="F22" s="58"/>
      <c r="G22" s="61"/>
      <c r="H22" s="269"/>
      <c r="J22" s="270"/>
      <c r="K22" s="109"/>
      <c r="L22" s="109"/>
      <c r="M22" s="58"/>
      <c r="N22" s="58"/>
      <c r="O22" s="61"/>
      <c r="P22" s="298"/>
      <c r="R22" s="270"/>
      <c r="S22" s="384"/>
      <c r="T22" s="109"/>
      <c r="U22" s="58"/>
      <c r="V22" s="58"/>
      <c r="W22" s="109"/>
      <c r="X22" s="269"/>
      <c r="Z22" s="270"/>
      <c r="AA22" s="109"/>
      <c r="AB22" s="109"/>
      <c r="AC22" s="58"/>
      <c r="AD22" s="58"/>
      <c r="AE22" s="109"/>
      <c r="AF22" s="298"/>
      <c r="AH22" s="270"/>
      <c r="AI22" s="109"/>
      <c r="AJ22" s="373"/>
      <c r="AK22" s="58"/>
      <c r="AL22" s="58"/>
      <c r="AM22" s="61"/>
      <c r="AN22" s="269"/>
      <c r="AP22" s="466"/>
      <c r="AQ22" s="453"/>
      <c r="AR22" s="453"/>
      <c r="AS22" s="467"/>
      <c r="AT22" s="455"/>
      <c r="AU22" s="470"/>
      <c r="AV22" s="269"/>
      <c r="AX22" s="270"/>
      <c r="AY22" s="384"/>
      <c r="AZ22" s="473"/>
      <c r="BA22" s="58"/>
      <c r="BB22" s="58"/>
      <c r="BC22" s="61"/>
      <c r="BD22" s="269"/>
      <c r="BF22" s="466"/>
      <c r="BG22" s="453"/>
      <c r="BH22" s="453"/>
      <c r="BI22" s="455"/>
      <c r="BJ22" s="455"/>
      <c r="BK22" s="61"/>
      <c r="BL22" s="298"/>
    </row>
    <row r="23" ht="22.5" customHeight="1">
      <c r="A23" s="368"/>
      <c r="B23" s="270"/>
      <c r="C23" s="109"/>
      <c r="D23" s="373"/>
      <c r="E23" s="58"/>
      <c r="F23" s="58"/>
      <c r="G23" s="61"/>
      <c r="H23" s="269"/>
      <c r="J23" s="270"/>
      <c r="K23" s="109"/>
      <c r="L23" s="109"/>
      <c r="M23" s="58"/>
      <c r="N23" s="58"/>
      <c r="O23" s="109"/>
      <c r="P23" s="269"/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109"/>
      <c r="AJ23" s="373"/>
      <c r="AK23" s="58"/>
      <c r="AL23" s="58"/>
      <c r="AM23" s="61"/>
      <c r="AN23" s="269"/>
      <c r="AP23" s="468"/>
      <c r="AQ23" s="450"/>
      <c r="AR23" s="450"/>
      <c r="AS23" s="471"/>
      <c r="AT23" s="452"/>
      <c r="AU23" s="472"/>
      <c r="AV23" s="269"/>
      <c r="AX23" s="270"/>
      <c r="AY23" s="109"/>
      <c r="AZ23" s="373"/>
      <c r="BA23" s="58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/>
      <c r="C24" s="109"/>
      <c r="D24" s="373"/>
      <c r="E24" s="58"/>
      <c r="F24" s="58"/>
      <c r="G24" s="61"/>
      <c r="H24" s="269"/>
      <c r="J24" s="270"/>
      <c r="K24" s="109"/>
      <c r="L24" s="109"/>
      <c r="M24" s="58"/>
      <c r="N24" s="58"/>
      <c r="O24" s="61"/>
      <c r="P24" s="269"/>
      <c r="R24" s="270"/>
      <c r="S24" s="384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47"/>
      <c r="AJ24" s="373"/>
      <c r="AK24" s="58"/>
      <c r="AL24" s="58"/>
      <c r="AM24" s="61"/>
      <c r="AN24" s="269"/>
      <c r="AP24" s="466"/>
      <c r="AQ24" s="453"/>
      <c r="AR24" s="453"/>
      <c r="AS24" s="467"/>
      <c r="AT24" s="455"/>
      <c r="AU24" s="470"/>
      <c r="AV24" s="269"/>
      <c r="AX24" s="270"/>
      <c r="AY24" s="109"/>
      <c r="AZ24" s="373"/>
      <c r="BA24" s="322"/>
      <c r="BB24" s="58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/>
      <c r="C25" s="109"/>
      <c r="D25" s="373"/>
      <c r="E25" s="58"/>
      <c r="F25" s="58"/>
      <c r="G25" s="109"/>
      <c r="H25" s="269"/>
      <c r="J25" s="270"/>
      <c r="K25" s="109"/>
      <c r="L25" s="109"/>
      <c r="M25" s="58"/>
      <c r="N25" s="58"/>
      <c r="O25" s="109"/>
      <c r="P25" s="269"/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0"/>
      <c r="AR25" s="450"/>
      <c r="AS25" s="465"/>
      <c r="AT25" s="452"/>
      <c r="AU25" s="61"/>
      <c r="AV25" s="269"/>
      <c r="AX25" s="270"/>
      <c r="AY25" s="384"/>
      <c r="AZ25" s="373"/>
      <c r="BA25" s="58"/>
      <c r="BB25" s="322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/>
      <c r="C26" s="109"/>
      <c r="D26" s="373"/>
      <c r="E26" s="58"/>
      <c r="F26" s="58"/>
      <c r="G26" s="61"/>
      <c r="H26" s="269"/>
      <c r="J26" s="270"/>
      <c r="K26" s="109"/>
      <c r="L26" s="109"/>
      <c r="M26" s="58"/>
      <c r="N26" s="58"/>
      <c r="O26" s="61"/>
      <c r="P26" s="269"/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61"/>
      <c r="AF26" s="269"/>
      <c r="AH26" s="270"/>
      <c r="AI26" s="109"/>
      <c r="AJ26" s="373"/>
      <c r="AK26" s="58"/>
      <c r="AL26" s="58"/>
      <c r="AM26" s="61"/>
      <c r="AN26" s="269"/>
      <c r="AP26" s="449"/>
      <c r="AQ26" s="453"/>
      <c r="AR26" s="453"/>
      <c r="AS26" s="462"/>
      <c r="AT26" s="452"/>
      <c r="AU26" s="61"/>
      <c r="AV26" s="269"/>
      <c r="AX26" s="270"/>
      <c r="AY26" s="384"/>
      <c r="AZ26" s="373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/>
      <c r="C27" s="109"/>
      <c r="D27" s="373"/>
      <c r="E27" s="58"/>
      <c r="F27" s="58"/>
      <c r="G27" s="61"/>
      <c r="H27" s="269"/>
      <c r="J27" s="270"/>
      <c r="K27" s="109"/>
      <c r="L27" s="109"/>
      <c r="M27" s="58"/>
      <c r="N27" s="58"/>
      <c r="O27" s="61"/>
      <c r="P27" s="269"/>
      <c r="R27" s="270"/>
      <c r="S27" s="109"/>
      <c r="T27" s="109"/>
      <c r="U27" s="58"/>
      <c r="V27" s="58"/>
      <c r="W27" s="61"/>
      <c r="X27" s="269"/>
      <c r="Z27" s="270"/>
      <c r="AA27" s="109"/>
      <c r="AB27" s="109"/>
      <c r="AC27" s="58"/>
      <c r="AD27" s="58"/>
      <c r="AE27" s="109"/>
      <c r="AF27" s="269"/>
      <c r="AH27" s="270"/>
      <c r="AI27" s="109"/>
      <c r="AJ27" s="373"/>
      <c r="AK27" s="58"/>
      <c r="AL27" s="58"/>
      <c r="AM27" s="61"/>
      <c r="AN27" s="269"/>
      <c r="AP27" s="449"/>
      <c r="AQ27" s="450"/>
      <c r="AR27" s="450"/>
      <c r="AS27" s="465"/>
      <c r="AT27" s="451"/>
      <c r="AU27" s="61"/>
      <c r="AV27" s="269"/>
      <c r="AX27" s="270"/>
      <c r="AY27" s="384"/>
      <c r="AZ27" s="43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/>
      <c r="C28" s="109"/>
      <c r="D28" s="373"/>
      <c r="E28" s="58"/>
      <c r="F28" s="58"/>
      <c r="G28" s="61"/>
      <c r="H28" s="269"/>
      <c r="J28" s="270"/>
      <c r="K28" s="109"/>
      <c r="L28" s="109"/>
      <c r="M28" s="58"/>
      <c r="N28" s="58"/>
      <c r="O28" s="61"/>
      <c r="P28" s="269"/>
      <c r="R28" s="270"/>
      <c r="S28" s="109"/>
      <c r="T28" s="109"/>
      <c r="U28" s="322"/>
      <c r="V28" s="58"/>
      <c r="W28" s="109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322"/>
      <c r="AL28" s="58"/>
      <c r="AM28" s="61"/>
      <c r="AN28" s="269"/>
      <c r="AP28" s="468"/>
      <c r="AQ28" s="450"/>
      <c r="AR28" s="450"/>
      <c r="AS28" s="471"/>
      <c r="AT28" s="452"/>
      <c r="AU28" s="472"/>
      <c r="AV28" s="269"/>
      <c r="AX28" s="270"/>
      <c r="AY28" s="450"/>
      <c r="AZ28" s="474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/>
      <c r="C29" s="109"/>
      <c r="D29" s="373"/>
      <c r="E29" s="58"/>
      <c r="F29" s="58"/>
      <c r="G29" s="61"/>
      <c r="H29" s="269"/>
      <c r="J29" s="270"/>
      <c r="K29" s="109"/>
      <c r="L29" s="109"/>
      <c r="M29" s="58"/>
      <c r="N29" s="58"/>
      <c r="O29" s="61"/>
      <c r="P29" s="269"/>
      <c r="R29" s="270"/>
      <c r="S29" s="323"/>
      <c r="T29" s="109"/>
      <c r="U29" s="58"/>
      <c r="V29" s="322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66"/>
      <c r="AQ29" s="453"/>
      <c r="AR29" s="453"/>
      <c r="AS29" s="467"/>
      <c r="AT29" s="455"/>
      <c r="AU29" s="470"/>
      <c r="AV29" s="269"/>
      <c r="AX29" s="270"/>
      <c r="AY29" s="453"/>
      <c r="AZ29" s="475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/>
      <c r="C30" s="109"/>
      <c r="D30" s="373"/>
      <c r="E30" s="58"/>
      <c r="F30" s="58"/>
      <c r="G30" s="61"/>
      <c r="H30" s="269"/>
      <c r="J30" s="270"/>
      <c r="K30" s="109"/>
      <c r="L30" s="109"/>
      <c r="M30" s="58"/>
      <c r="N30" s="58"/>
      <c r="O30" s="61"/>
      <c r="P30" s="269"/>
      <c r="R30" s="270"/>
      <c r="S30" s="384"/>
      <c r="T30" s="326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109"/>
      <c r="AJ30" s="373"/>
      <c r="AK30" s="412"/>
      <c r="AL30" s="344"/>
      <c r="AM30" s="109"/>
      <c r="AN30" s="298"/>
      <c r="AP30" s="468"/>
      <c r="AQ30" s="450"/>
      <c r="AR30" s="450"/>
      <c r="AS30" s="471"/>
      <c r="AT30" s="452"/>
      <c r="AU30" s="472"/>
      <c r="AV30" s="269"/>
      <c r="AX30" s="270"/>
      <c r="AY30" s="450"/>
      <c r="AZ30" s="474"/>
      <c r="BA30" s="58"/>
      <c r="BB30" s="58"/>
      <c r="BC30" s="61"/>
      <c r="BD30" s="269"/>
      <c r="BF30" s="270"/>
      <c r="BG30" s="109"/>
      <c r="BH30" s="109"/>
      <c r="BI30" s="58"/>
      <c r="BJ30" s="58"/>
      <c r="BK30" s="61"/>
      <c r="BL30" s="269"/>
    </row>
    <row r="31" ht="22.5" customHeight="1">
      <c r="A31" s="368"/>
      <c r="B31" s="270"/>
      <c r="C31" s="109"/>
      <c r="D31" s="373"/>
      <c r="E31" s="58"/>
      <c r="F31" s="58"/>
      <c r="G31" s="109"/>
      <c r="H31" s="269"/>
      <c r="J31" s="270"/>
      <c r="K31" s="109"/>
      <c r="L31" s="109"/>
      <c r="M31" s="58"/>
      <c r="N31" s="58"/>
      <c r="O31" s="61"/>
      <c r="P31" s="269"/>
      <c r="R31" s="270"/>
      <c r="S31" s="384"/>
      <c r="T31" s="109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270"/>
      <c r="AI31" s="384"/>
      <c r="AJ31" s="373"/>
      <c r="AK31" s="58"/>
      <c r="AL31" s="58"/>
      <c r="AM31" s="61"/>
      <c r="AN31" s="269"/>
      <c r="AP31" s="466"/>
      <c r="AQ31" s="453"/>
      <c r="AR31" s="453"/>
      <c r="AS31" s="455"/>
      <c r="AT31" s="455"/>
      <c r="AU31" s="476"/>
      <c r="AV31" s="298"/>
      <c r="AX31" s="270"/>
      <c r="AY31" s="453"/>
      <c r="AZ31" s="475"/>
      <c r="BA31" s="58"/>
      <c r="BB31" s="58"/>
      <c r="BC31" s="61"/>
      <c r="BD31" s="269"/>
      <c r="BF31" s="270"/>
      <c r="BG31" s="109"/>
      <c r="BH31" s="109"/>
      <c r="BI31" s="58"/>
      <c r="BJ31" s="58"/>
      <c r="BK31" s="109"/>
      <c r="BL31" s="269"/>
    </row>
    <row r="32" ht="22.5" customHeight="1">
      <c r="A32" s="368"/>
      <c r="B32" s="270"/>
      <c r="C32" s="109"/>
      <c r="D32" s="373"/>
      <c r="E32" s="58"/>
      <c r="F32" s="58"/>
      <c r="G32" s="61"/>
      <c r="H32" s="269"/>
      <c r="J32" s="270"/>
      <c r="K32" s="109"/>
      <c r="L32" s="109"/>
      <c r="M32" s="58"/>
      <c r="N32" s="58"/>
      <c r="O32" s="61"/>
      <c r="P32" s="269"/>
      <c r="R32" s="270"/>
      <c r="S32" s="384"/>
      <c r="T32" s="460"/>
      <c r="U32" s="58"/>
      <c r="V32" s="58"/>
      <c r="W32" s="61"/>
      <c r="X32" s="269"/>
      <c r="Z32" s="270"/>
      <c r="AA32" s="109"/>
      <c r="AB32" s="109"/>
      <c r="AC32" s="58"/>
      <c r="AD32" s="58"/>
      <c r="AE32" s="61"/>
      <c r="AF32" s="269"/>
      <c r="AH32" s="468"/>
      <c r="AI32" s="450"/>
      <c r="AJ32" s="450"/>
      <c r="AK32" s="471"/>
      <c r="AL32" s="452"/>
      <c r="AM32" s="61"/>
      <c r="AN32" s="269"/>
      <c r="AP32" s="449"/>
      <c r="AQ32" s="450"/>
      <c r="AR32" s="450"/>
      <c r="AS32" s="465"/>
      <c r="AT32" s="452"/>
      <c r="AU32" s="477"/>
      <c r="AV32" s="269"/>
      <c r="AX32" s="270"/>
      <c r="AY32" s="450"/>
      <c r="AZ32" s="474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/>
      <c r="C33" s="109"/>
      <c r="D33" s="373"/>
      <c r="E33" s="58"/>
      <c r="F33" s="58"/>
      <c r="G33" s="61"/>
      <c r="H33" s="269"/>
      <c r="J33" s="270"/>
      <c r="K33" s="109"/>
      <c r="L33" s="109"/>
      <c r="M33" s="58"/>
      <c r="N33" s="58"/>
      <c r="O33" s="61"/>
      <c r="P33" s="269"/>
      <c r="R33" s="270"/>
      <c r="S33" s="384"/>
      <c r="T33" s="439"/>
      <c r="U33" s="58"/>
      <c r="V33" s="58"/>
      <c r="W33" s="61"/>
      <c r="X33" s="269"/>
      <c r="Z33" s="478"/>
      <c r="AA33" s="479"/>
      <c r="AB33" s="480"/>
      <c r="AC33" s="481"/>
      <c r="AD33" s="482"/>
      <c r="AE33" s="61"/>
      <c r="AF33" s="269"/>
      <c r="AH33" s="466"/>
      <c r="AI33" s="453"/>
      <c r="AJ33" s="453"/>
      <c r="AK33" s="467"/>
      <c r="AL33" s="455"/>
      <c r="AM33" s="61"/>
      <c r="AN33" s="269"/>
      <c r="AP33" s="449"/>
      <c r="AQ33" s="453"/>
      <c r="AR33" s="453"/>
      <c r="AS33" s="462"/>
      <c r="AT33" s="455"/>
      <c r="AU33" s="458"/>
      <c r="AV33" s="298"/>
      <c r="AX33" s="270"/>
      <c r="AY33" s="453"/>
      <c r="AZ33" s="475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/>
      <c r="C34" s="109"/>
      <c r="D34" s="373"/>
      <c r="E34" s="58"/>
      <c r="F34" s="58"/>
      <c r="G34" s="109"/>
      <c r="H34" s="269"/>
      <c r="J34" s="270"/>
      <c r="K34" s="109"/>
      <c r="L34" s="109"/>
      <c r="M34" s="58"/>
      <c r="N34" s="58"/>
      <c r="O34" s="61"/>
      <c r="P34" s="269"/>
      <c r="R34" s="270"/>
      <c r="S34" s="384"/>
      <c r="T34" s="483"/>
      <c r="U34" s="58"/>
      <c r="V34" s="58"/>
      <c r="W34" s="61"/>
      <c r="X34" s="269"/>
      <c r="Z34" s="478"/>
      <c r="AA34" s="479"/>
      <c r="AB34" s="479"/>
      <c r="AC34" s="484"/>
      <c r="AD34" s="485"/>
      <c r="AE34" s="61"/>
      <c r="AF34" s="269"/>
      <c r="AH34" s="468"/>
      <c r="AI34" s="450"/>
      <c r="AJ34" s="450"/>
      <c r="AK34" s="452"/>
      <c r="AL34" s="452"/>
      <c r="AM34" s="109"/>
      <c r="AN34" s="269"/>
      <c r="AP34" s="449"/>
      <c r="AQ34" s="450"/>
      <c r="AR34" s="450"/>
      <c r="AS34" s="465"/>
      <c r="AT34" s="452"/>
      <c r="AU34" s="486"/>
      <c r="AV34" s="298"/>
      <c r="AX34" s="270"/>
      <c r="AY34" s="450"/>
      <c r="AZ34" s="474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/>
      <c r="C35" s="109"/>
      <c r="D35" s="373"/>
      <c r="E35" s="58"/>
      <c r="F35" s="58"/>
      <c r="G35" s="61"/>
      <c r="H35" s="269"/>
      <c r="J35" s="270"/>
      <c r="K35" s="109"/>
      <c r="L35" s="109"/>
      <c r="M35" s="58"/>
      <c r="N35" s="58"/>
      <c r="O35" s="61"/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3"/>
      <c r="AJ35" s="453"/>
      <c r="AK35" s="462"/>
      <c r="AL35" s="455"/>
      <c r="AM35" s="61"/>
      <c r="AN35" s="269"/>
      <c r="AP35" s="270"/>
      <c r="AQ35" s="109"/>
      <c r="AR35" s="109"/>
      <c r="AS35" s="58"/>
      <c r="AT35" s="58"/>
      <c r="AU35" s="61"/>
      <c r="AV35" s="269"/>
      <c r="AX35" s="270"/>
      <c r="AY35" s="453"/>
      <c r="AZ35" s="475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/>
      <c r="C36" s="109"/>
      <c r="D36" s="373"/>
      <c r="E36" s="58"/>
      <c r="F36" s="58"/>
      <c r="G36" s="61"/>
      <c r="H36" s="269"/>
      <c r="J36" s="270"/>
      <c r="K36" s="109"/>
      <c r="L36" s="109"/>
      <c r="M36" s="58"/>
      <c r="N36" s="58"/>
      <c r="O36" s="61"/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449"/>
      <c r="AI36" s="450"/>
      <c r="AJ36" s="450"/>
      <c r="AK36" s="465"/>
      <c r="AL36" s="452"/>
      <c r="AM36" s="109"/>
      <c r="AN36" s="269"/>
      <c r="AP36" s="270"/>
      <c r="AQ36" s="109"/>
      <c r="AR36" s="109"/>
      <c r="AS36" s="58"/>
      <c r="AT36" s="58"/>
      <c r="AU36" s="61"/>
      <c r="AV36" s="269"/>
      <c r="AX36" s="270"/>
      <c r="AY36" s="450"/>
      <c r="AZ36" s="474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/>
      <c r="C37" s="109"/>
      <c r="D37" s="373"/>
      <c r="E37" s="58"/>
      <c r="F37" s="58"/>
      <c r="G37" s="61"/>
      <c r="H37" s="269"/>
      <c r="J37" s="270"/>
      <c r="K37" s="109"/>
      <c r="L37" s="109"/>
      <c r="M37" s="58"/>
      <c r="N37" s="58"/>
      <c r="O37" s="61"/>
      <c r="P37" s="269"/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3"/>
      <c r="AZ37" s="475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69"/>
    </row>
    <row r="38" ht="22.5" customHeight="1">
      <c r="A38" s="368"/>
      <c r="B38" s="270"/>
      <c r="C38" s="109"/>
      <c r="D38" s="373"/>
      <c r="E38" s="58"/>
      <c r="F38" s="58"/>
      <c r="G38" s="109"/>
      <c r="H38" s="269"/>
      <c r="J38" s="270"/>
      <c r="K38" s="109"/>
      <c r="L38" s="109"/>
      <c r="M38" s="58"/>
      <c r="N38" s="58"/>
      <c r="O38" s="61"/>
      <c r="P38" s="269"/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0"/>
      <c r="AZ38" s="474"/>
      <c r="BA38" s="58"/>
      <c r="BB38" s="58"/>
      <c r="BC38" s="61"/>
      <c r="BD38" s="269"/>
      <c r="BF38" s="270"/>
      <c r="BG38" s="109"/>
      <c r="BH38" s="109"/>
      <c r="BI38" s="58"/>
      <c r="BJ38" s="58"/>
      <c r="BK38" s="61"/>
      <c r="BL38" s="298"/>
    </row>
    <row r="39" ht="22.5" customHeight="1">
      <c r="A39" s="368"/>
      <c r="B39" s="270"/>
      <c r="C39" s="109"/>
      <c r="D39" s="373"/>
      <c r="E39" s="58"/>
      <c r="F39" s="58"/>
      <c r="G39" s="61"/>
      <c r="H39" s="269"/>
      <c r="J39" s="270"/>
      <c r="K39" s="109"/>
      <c r="L39" s="109"/>
      <c r="M39" s="58"/>
      <c r="N39" s="58"/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61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3"/>
      <c r="AZ39" s="475"/>
      <c r="BA39" s="58"/>
      <c r="BB39" s="58"/>
      <c r="BC39" s="61"/>
      <c r="BD39" s="269"/>
      <c r="BF39" s="449"/>
      <c r="BG39" s="450"/>
      <c r="BH39" s="450"/>
      <c r="BI39" s="451"/>
      <c r="BJ39" s="469"/>
      <c r="BK39" s="61"/>
      <c r="BL39" s="298"/>
    </row>
    <row r="40" ht="22.5" customHeight="1">
      <c r="A40" s="368"/>
      <c r="B40" s="270"/>
      <c r="C40" s="109"/>
      <c r="D40" s="373"/>
      <c r="E40" s="58"/>
      <c r="F40" s="58"/>
      <c r="G40" s="61"/>
      <c r="H40" s="269"/>
      <c r="J40" s="270"/>
      <c r="K40" s="109"/>
      <c r="L40" s="109"/>
      <c r="M40" s="58"/>
      <c r="N40" s="58"/>
      <c r="O40" s="61"/>
      <c r="P40" s="269"/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109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0"/>
      <c r="AZ40" s="474"/>
      <c r="BA40" s="58"/>
      <c r="BB40" s="58"/>
      <c r="BC40" s="61"/>
      <c r="BD40" s="269"/>
      <c r="BF40" s="449"/>
      <c r="BG40" s="453"/>
      <c r="BH40" s="453"/>
      <c r="BI40" s="454"/>
      <c r="BJ40" s="455"/>
      <c r="BK40" s="61"/>
      <c r="BL40" s="298"/>
    </row>
    <row r="41" ht="22.5" customHeight="1">
      <c r="A41" s="368"/>
      <c r="B41" s="270"/>
      <c r="C41" s="109"/>
      <c r="D41" s="373"/>
      <c r="E41" s="58"/>
      <c r="F41" s="58"/>
      <c r="G41" s="109"/>
      <c r="H41" s="269"/>
      <c r="J41" s="270"/>
      <c r="K41" s="109"/>
      <c r="L41" s="109"/>
      <c r="M41" s="58"/>
      <c r="N41" s="58"/>
      <c r="O41" s="61"/>
      <c r="P41" s="269"/>
      <c r="R41" s="270"/>
      <c r="S41" s="109"/>
      <c r="T41" s="109"/>
      <c r="U41" s="58"/>
      <c r="V41" s="58"/>
      <c r="W41" s="61"/>
      <c r="X41" s="269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3"/>
      <c r="AZ41" s="475"/>
      <c r="BA41" s="58"/>
      <c r="BB41" s="58"/>
      <c r="BC41" s="61"/>
      <c r="BD41" s="269"/>
      <c r="BF41" s="449"/>
      <c r="BG41" s="450"/>
      <c r="BH41" s="450"/>
      <c r="BI41" s="451"/>
      <c r="BJ41" s="455"/>
      <c r="BK41" s="61"/>
      <c r="BL41" s="298"/>
    </row>
    <row r="42" ht="22.5" customHeight="1">
      <c r="A42" s="368"/>
      <c r="B42" s="270"/>
      <c r="C42" s="109"/>
      <c r="D42" s="373"/>
      <c r="E42" s="58"/>
      <c r="F42" s="58"/>
      <c r="G42" s="61"/>
      <c r="H42" s="269"/>
      <c r="J42" s="270"/>
      <c r="K42" s="109"/>
      <c r="L42" s="109"/>
      <c r="M42" s="58"/>
      <c r="N42" s="58"/>
      <c r="O42" s="61"/>
      <c r="P42" s="269"/>
      <c r="R42" s="270"/>
      <c r="S42" s="384"/>
      <c r="T42" s="109"/>
      <c r="U42" s="344"/>
      <c r="V42" s="58"/>
      <c r="W42" s="109"/>
      <c r="X42" s="298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0"/>
      <c r="AZ42" s="474"/>
      <c r="BA42" s="58"/>
      <c r="BB42" s="58"/>
      <c r="BC42" s="61"/>
      <c r="BD42" s="269"/>
      <c r="BF42" s="449"/>
      <c r="BG42" s="453"/>
      <c r="BH42" s="453"/>
      <c r="BI42" s="454"/>
      <c r="BJ42" s="452"/>
      <c r="BK42" s="61"/>
      <c r="BL42" s="298"/>
    </row>
    <row r="43" ht="22.5" customHeight="1">
      <c r="A43" s="368"/>
      <c r="B43" s="270"/>
      <c r="C43" s="109"/>
      <c r="D43" s="373"/>
      <c r="E43" s="58"/>
      <c r="F43" s="58"/>
      <c r="G43" s="109"/>
      <c r="H43" s="269"/>
      <c r="J43" s="270"/>
      <c r="K43" s="109"/>
      <c r="L43" s="109"/>
      <c r="M43" s="58"/>
      <c r="N43" s="58"/>
      <c r="O43" s="61"/>
      <c r="P43" s="269"/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61"/>
      <c r="AF43" s="269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453"/>
      <c r="AZ43" s="475"/>
      <c r="BA43" s="58"/>
      <c r="BB43" s="58"/>
      <c r="BC43" s="61"/>
      <c r="BD43" s="269"/>
      <c r="BF43" s="468"/>
      <c r="BG43" s="450"/>
      <c r="BH43" s="450"/>
      <c r="BI43" s="452"/>
      <c r="BJ43" s="452"/>
      <c r="BK43" s="61"/>
      <c r="BL43" s="298"/>
    </row>
    <row r="44" ht="22.5" customHeight="1">
      <c r="A44" s="368"/>
      <c r="B44" s="270"/>
      <c r="C44" s="109"/>
      <c r="D44" s="373"/>
      <c r="E44" s="58"/>
      <c r="F44" s="58"/>
      <c r="G44" s="61"/>
      <c r="H44" s="269"/>
      <c r="J44" s="270"/>
      <c r="K44" s="109"/>
      <c r="L44" s="109"/>
      <c r="M44" s="58"/>
      <c r="N44" s="58"/>
      <c r="O44" s="61"/>
      <c r="P44" s="269"/>
      <c r="R44" s="270"/>
      <c r="S44" s="384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66"/>
      <c r="BG44" s="453"/>
      <c r="BH44" s="453"/>
      <c r="BI44" s="455"/>
      <c r="BJ44" s="455"/>
      <c r="BK44" s="61"/>
      <c r="BL44" s="298"/>
    </row>
    <row r="45" ht="22.5" customHeight="1">
      <c r="A45" s="368"/>
      <c r="B45" s="270"/>
      <c r="C45" s="109"/>
      <c r="D45" s="373"/>
      <c r="E45" s="58"/>
      <c r="F45" s="58"/>
      <c r="G45" s="61"/>
      <c r="H45" s="269"/>
      <c r="J45" s="270"/>
      <c r="K45" s="109"/>
      <c r="L45" s="109"/>
      <c r="M45" s="58"/>
      <c r="N45" s="58"/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109"/>
      <c r="AF45" s="298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58"/>
      <c r="BB45" s="58"/>
      <c r="BC45" s="61"/>
      <c r="BD45" s="269"/>
      <c r="BF45" s="468"/>
      <c r="BG45" s="450"/>
      <c r="BH45" s="450"/>
      <c r="BI45" s="452"/>
      <c r="BJ45" s="452"/>
      <c r="BK45" s="61"/>
      <c r="BL45" s="298"/>
    </row>
    <row r="46" ht="22.5" customHeight="1">
      <c r="A46" s="368"/>
      <c r="B46" s="270"/>
      <c r="C46" s="109"/>
      <c r="D46" s="373"/>
      <c r="E46" s="58"/>
      <c r="F46" s="58"/>
      <c r="G46" s="109"/>
      <c r="H46" s="269"/>
      <c r="J46" s="270"/>
      <c r="K46" s="109"/>
      <c r="L46" s="109"/>
      <c r="M46" s="58"/>
      <c r="N46" s="58"/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66"/>
      <c r="BG46" s="453"/>
      <c r="BH46" s="453"/>
      <c r="BI46" s="455"/>
      <c r="BJ46" s="455"/>
      <c r="BK46" s="61"/>
      <c r="BL46" s="298"/>
    </row>
    <row r="47" ht="22.5" customHeight="1">
      <c r="A47" s="368"/>
      <c r="B47" s="270"/>
      <c r="C47" s="109"/>
      <c r="D47" s="373"/>
      <c r="E47" s="58"/>
      <c r="F47" s="58"/>
      <c r="G47" s="61"/>
      <c r="H47" s="269"/>
      <c r="J47" s="270"/>
      <c r="K47" s="109"/>
      <c r="L47" s="109"/>
      <c r="M47" s="58"/>
      <c r="N47" s="58"/>
      <c r="O47" s="61"/>
      <c r="P47" s="269"/>
      <c r="R47" s="270"/>
      <c r="S47" s="109"/>
      <c r="T47" s="109"/>
      <c r="U47" s="58"/>
      <c r="V47" s="58"/>
      <c r="W47" s="61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0"/>
      <c r="BH47" s="450"/>
      <c r="BI47" s="452"/>
      <c r="BJ47" s="452"/>
      <c r="BK47" s="61"/>
      <c r="BL47" s="298"/>
    </row>
    <row r="48" ht="22.5" customHeight="1">
      <c r="A48" s="368"/>
      <c r="B48" s="270"/>
      <c r="C48" s="109"/>
      <c r="D48" s="373"/>
      <c r="E48" s="58"/>
      <c r="F48" s="58"/>
      <c r="G48" s="61"/>
      <c r="H48" s="269"/>
      <c r="J48" s="270"/>
      <c r="K48" s="109"/>
      <c r="L48" s="109"/>
      <c r="M48" s="58"/>
      <c r="N48" s="58"/>
      <c r="O48" s="61"/>
      <c r="P48" s="269"/>
      <c r="R48" s="270"/>
      <c r="S48" s="384"/>
      <c r="T48" s="439"/>
      <c r="U48" s="344"/>
      <c r="V48" s="58"/>
      <c r="W48" s="109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61"/>
      <c r="AN48" s="269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466"/>
      <c r="BG48" s="453"/>
      <c r="BH48" s="453"/>
      <c r="BI48" s="455"/>
      <c r="BJ48" s="455"/>
      <c r="BK48" s="61"/>
      <c r="BL48" s="298"/>
    </row>
    <row r="49" ht="22.5" customHeight="1">
      <c r="A49" s="368"/>
      <c r="B49" s="270"/>
      <c r="C49" s="109"/>
      <c r="D49" s="373"/>
      <c r="E49" s="58"/>
      <c r="F49" s="58"/>
      <c r="G49" s="109"/>
      <c r="H49" s="269"/>
      <c r="J49" s="270"/>
      <c r="K49" s="109"/>
      <c r="L49" s="109"/>
      <c r="M49" s="58"/>
      <c r="N49" s="58"/>
      <c r="O49" s="61"/>
      <c r="P49" s="269"/>
      <c r="R49" s="270"/>
      <c r="S49" s="384"/>
      <c r="T49" s="460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270"/>
      <c r="AI49" s="109"/>
      <c r="AJ49" s="373"/>
      <c r="AK49" s="58"/>
      <c r="AL49" s="58"/>
      <c r="AM49" s="109"/>
      <c r="AN49" s="298"/>
      <c r="AP49" s="270"/>
      <c r="AQ49" s="109"/>
      <c r="AR49" s="109"/>
      <c r="AS49" s="58"/>
      <c r="AT49" s="58"/>
      <c r="AU49" s="61"/>
      <c r="AV49" s="269"/>
      <c r="AX49" s="270"/>
      <c r="AY49" s="384"/>
      <c r="AZ49" s="373"/>
      <c r="BA49" s="344"/>
      <c r="BB49" s="344"/>
      <c r="BC49" s="61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/>
      <c r="C50" s="109"/>
      <c r="D50" s="373"/>
      <c r="E50" s="58"/>
      <c r="F50" s="58"/>
      <c r="G50" s="61"/>
      <c r="H50" s="269"/>
      <c r="J50" s="270"/>
      <c r="K50" s="109"/>
      <c r="L50" s="109"/>
      <c r="M50" s="58"/>
      <c r="N50" s="58"/>
      <c r="O50" s="61"/>
      <c r="P50" s="269"/>
      <c r="R50" s="270"/>
      <c r="S50" s="384"/>
      <c r="T50" s="460"/>
      <c r="U50" s="58"/>
      <c r="V50" s="58"/>
      <c r="W50" s="61"/>
      <c r="X50" s="269"/>
      <c r="Z50" s="270"/>
      <c r="AA50" s="109"/>
      <c r="AB50" s="109"/>
      <c r="AC50" s="58"/>
      <c r="AD50" s="58"/>
      <c r="AE50" s="61"/>
      <c r="AF50" s="269"/>
      <c r="AH50" s="487"/>
      <c r="AI50" s="453"/>
      <c r="AJ50" s="453"/>
      <c r="AK50" s="467"/>
      <c r="AL50" s="455"/>
      <c r="AM50" s="61"/>
      <c r="AN50" s="269"/>
      <c r="AP50" s="449"/>
      <c r="AQ50" s="450"/>
      <c r="AR50" s="480"/>
      <c r="AS50" s="465"/>
      <c r="AT50" s="452"/>
      <c r="AU50" s="61"/>
      <c r="AV50" s="269"/>
      <c r="AX50" s="270"/>
      <c r="AY50" s="384"/>
      <c r="AZ50" s="373"/>
      <c r="BA50" s="58"/>
      <c r="BB50" s="58"/>
      <c r="BC50" s="109"/>
      <c r="BD50" s="269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/>
      <c r="C51" s="109"/>
      <c r="D51" s="373"/>
      <c r="E51" s="58"/>
      <c r="F51" s="58"/>
      <c r="G51" s="61"/>
      <c r="H51" s="269"/>
      <c r="J51" s="270"/>
      <c r="K51" s="109"/>
      <c r="L51" s="109"/>
      <c r="M51" s="58"/>
      <c r="N51" s="58"/>
      <c r="O51" s="61"/>
      <c r="P51" s="269"/>
      <c r="R51" s="270"/>
      <c r="S51" s="109"/>
      <c r="T51" s="464"/>
      <c r="U51" s="58"/>
      <c r="V51" s="58"/>
      <c r="W51" s="109"/>
      <c r="X51" s="269"/>
      <c r="Z51" s="270"/>
      <c r="AA51" s="109"/>
      <c r="AB51" s="109"/>
      <c r="AC51" s="58"/>
      <c r="AD51" s="58"/>
      <c r="AE51" s="61"/>
      <c r="AF51" s="269"/>
      <c r="AH51" s="488"/>
      <c r="AI51" s="450"/>
      <c r="AJ51" s="450"/>
      <c r="AK51" s="471"/>
      <c r="AL51" s="452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384"/>
      <c r="AZ51" s="373"/>
      <c r="BA51" s="58"/>
      <c r="BB51" s="58"/>
      <c r="BC51" s="109"/>
      <c r="BD51" s="298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/>
      <c r="C52" s="109"/>
      <c r="D52" s="373"/>
      <c r="E52" s="58"/>
      <c r="F52" s="58"/>
      <c r="G52" s="61"/>
      <c r="H52" s="269"/>
      <c r="J52" s="270"/>
      <c r="K52" s="109"/>
      <c r="L52" s="109"/>
      <c r="M52" s="58"/>
      <c r="N52" s="58"/>
      <c r="O52" s="61"/>
      <c r="P52" s="269"/>
      <c r="R52" s="270"/>
      <c r="S52" s="384"/>
      <c r="T52" s="460"/>
      <c r="U52" s="344"/>
      <c r="V52" s="58"/>
      <c r="W52" s="109"/>
      <c r="X52" s="298"/>
      <c r="Z52" s="270"/>
      <c r="AA52" s="109"/>
      <c r="AB52" s="109"/>
      <c r="AC52" s="58"/>
      <c r="AD52" s="58"/>
      <c r="AE52" s="61"/>
      <c r="AF52" s="269"/>
      <c r="AH52" s="487"/>
      <c r="AI52" s="453"/>
      <c r="AJ52" s="453"/>
      <c r="AK52" s="467"/>
      <c r="AL52" s="455"/>
      <c r="AM52" s="61"/>
      <c r="AN52" s="269"/>
      <c r="AP52" s="194"/>
      <c r="AQ52" s="61"/>
      <c r="AR52" s="61"/>
      <c r="AS52" s="81"/>
      <c r="AT52" s="81"/>
      <c r="AU52" s="61"/>
      <c r="AV52" s="298"/>
      <c r="AX52" s="270"/>
      <c r="AY52" s="109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58"/>
      <c r="G53" s="109"/>
      <c r="H53" s="298"/>
      <c r="J53" s="270"/>
      <c r="K53" s="109"/>
      <c r="L53" s="109"/>
      <c r="M53" s="58"/>
      <c r="N53" s="58"/>
      <c r="O53" s="61"/>
      <c r="P53" s="269"/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88"/>
      <c r="AI53" s="450"/>
      <c r="AJ53" s="450"/>
      <c r="AK53" s="471"/>
      <c r="AL53" s="452"/>
      <c r="AM53" s="61"/>
      <c r="AN53" s="269"/>
      <c r="AP53" s="270"/>
      <c r="AQ53" s="109"/>
      <c r="AR53" s="109"/>
      <c r="AS53" s="344"/>
      <c r="AT53" s="344"/>
      <c r="AU53" s="61"/>
      <c r="AV53" s="298"/>
      <c r="AX53" s="270"/>
      <c r="AY53" s="384"/>
      <c r="AZ53" s="373"/>
      <c r="BA53" s="58"/>
      <c r="BB53" s="58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58"/>
      <c r="G54" s="61"/>
      <c r="H54" s="269"/>
      <c r="J54" s="270"/>
      <c r="K54" s="109"/>
      <c r="L54" s="109"/>
      <c r="M54" s="58"/>
      <c r="N54" s="58"/>
      <c r="O54" s="61"/>
      <c r="P54" s="269"/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87"/>
      <c r="AI54" s="453"/>
      <c r="AJ54" s="453"/>
      <c r="AK54" s="467"/>
      <c r="AL54" s="455"/>
      <c r="AM54" s="61"/>
      <c r="AN54" s="298"/>
      <c r="AP54" s="270"/>
      <c r="AQ54" s="109"/>
      <c r="AR54" s="109"/>
      <c r="AS54" s="344"/>
      <c r="AT54" s="344"/>
      <c r="AU54" s="61"/>
      <c r="AV54" s="298"/>
      <c r="AX54" s="270"/>
      <c r="AY54" s="450"/>
      <c r="AZ54" s="450"/>
      <c r="BA54" s="471"/>
      <c r="BB54" s="452"/>
      <c r="BC54" s="61"/>
      <c r="BD54" s="269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58"/>
      <c r="G55" s="61"/>
      <c r="H55" s="269"/>
      <c r="J55" s="270"/>
      <c r="K55" s="109"/>
      <c r="L55" s="297"/>
      <c r="M55" s="58"/>
      <c r="N55" s="58"/>
      <c r="O55" s="109"/>
      <c r="P55" s="269"/>
      <c r="R55" s="270"/>
      <c r="S55" s="384"/>
      <c r="T55" s="109"/>
      <c r="U55" s="58"/>
      <c r="V55" s="58"/>
      <c r="W55" s="61"/>
      <c r="X55" s="269"/>
      <c r="Z55" s="270"/>
      <c r="AA55" s="109"/>
      <c r="AB55" s="109"/>
      <c r="AC55" s="58"/>
      <c r="AD55" s="58"/>
      <c r="AE55" s="61"/>
      <c r="AF55" s="269"/>
      <c r="AH55" s="449"/>
      <c r="AI55" s="450"/>
      <c r="AJ55" s="450"/>
      <c r="AK55" s="451"/>
      <c r="AL55" s="452"/>
      <c r="AM55" s="489"/>
      <c r="AN55" s="298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58"/>
      <c r="G56" s="61"/>
      <c r="H56" s="269"/>
      <c r="J56" s="270"/>
      <c r="K56" s="109"/>
      <c r="L56" s="109"/>
      <c r="M56" s="58"/>
      <c r="N56" s="58"/>
      <c r="O56" s="61"/>
      <c r="P56" s="269"/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3"/>
      <c r="AJ56" s="453"/>
      <c r="AK56" s="462"/>
      <c r="AL56" s="455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58"/>
      <c r="G57" s="61"/>
      <c r="H57" s="269"/>
      <c r="J57" s="270"/>
      <c r="K57" s="109"/>
      <c r="L57" s="109"/>
      <c r="M57" s="58"/>
      <c r="N57" s="58"/>
      <c r="O57" s="61"/>
      <c r="P57" s="269"/>
      <c r="R57" s="270"/>
      <c r="S57" s="384"/>
      <c r="T57" s="109"/>
      <c r="U57" s="58"/>
      <c r="V57" s="58"/>
      <c r="W57" s="109"/>
      <c r="X57" s="269"/>
      <c r="Z57" s="270"/>
      <c r="AA57" s="109"/>
      <c r="AB57" s="109"/>
      <c r="AC57" s="58"/>
      <c r="AD57" s="58"/>
      <c r="AE57" s="61"/>
      <c r="AF57" s="269"/>
      <c r="AH57" s="449"/>
      <c r="AI57" s="450"/>
      <c r="AJ57" s="450"/>
      <c r="AK57" s="465"/>
      <c r="AL57" s="452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58"/>
      <c r="G58" s="61"/>
      <c r="H58" s="269"/>
      <c r="J58" s="270"/>
      <c r="K58" s="109"/>
      <c r="L58" s="109"/>
      <c r="M58" s="58"/>
      <c r="N58" s="58"/>
      <c r="O58" s="61"/>
      <c r="P58" s="269"/>
      <c r="R58" s="270"/>
      <c r="S58" s="384"/>
      <c r="T58" s="109"/>
      <c r="U58" s="344"/>
      <c r="V58" s="58"/>
      <c r="W58" s="489"/>
      <c r="X58" s="298"/>
      <c r="Z58" s="270"/>
      <c r="AA58" s="109"/>
      <c r="AB58" s="109"/>
      <c r="AC58" s="58"/>
      <c r="AD58" s="58"/>
      <c r="AE58" s="61"/>
      <c r="AF58" s="269"/>
      <c r="AH58" s="449"/>
      <c r="AI58" s="453"/>
      <c r="AJ58" s="453"/>
      <c r="AK58" s="462"/>
      <c r="AL58" s="455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58"/>
      <c r="G59" s="61"/>
      <c r="H59" s="269"/>
      <c r="J59" s="270"/>
      <c r="K59" s="109"/>
      <c r="L59" s="109"/>
      <c r="M59" s="58"/>
      <c r="N59" s="58"/>
      <c r="O59" s="61"/>
      <c r="P59" s="269"/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0"/>
      <c r="AJ59" s="450"/>
      <c r="AK59" s="471"/>
      <c r="AL59" s="452"/>
      <c r="AM59" s="61"/>
      <c r="AN59" s="269"/>
      <c r="AP59" s="270"/>
      <c r="AQ59" s="109"/>
      <c r="AR59" s="109"/>
      <c r="AS59" s="344"/>
      <c r="AT59" s="344"/>
      <c r="AU59" s="61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58"/>
      <c r="G60" s="61"/>
      <c r="H60" s="269"/>
      <c r="J60" s="270"/>
      <c r="K60" s="109"/>
      <c r="L60" s="109"/>
      <c r="M60" s="58"/>
      <c r="N60" s="58"/>
      <c r="O60" s="61"/>
      <c r="P60" s="269"/>
      <c r="R60" s="270"/>
      <c r="S60" s="384"/>
      <c r="T60" s="109"/>
      <c r="U60" s="58"/>
      <c r="V60" s="58"/>
      <c r="W60" s="109"/>
      <c r="X60" s="269"/>
      <c r="Z60" s="270"/>
      <c r="AA60" s="109"/>
      <c r="AB60" s="109"/>
      <c r="AC60" s="58"/>
      <c r="AD60" s="58"/>
      <c r="AE60" s="61"/>
      <c r="AF60" s="269"/>
      <c r="AH60" s="466"/>
      <c r="AI60" s="453"/>
      <c r="AJ60" s="453"/>
      <c r="AK60" s="467"/>
      <c r="AL60" s="455"/>
      <c r="AM60" s="61"/>
      <c r="AN60" s="269"/>
      <c r="AP60" s="270"/>
      <c r="AQ60" s="109"/>
      <c r="AR60" s="109"/>
      <c r="AS60" s="344"/>
      <c r="AT60" s="344"/>
      <c r="AU60" s="109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58"/>
      <c r="G61" s="61"/>
      <c r="H61" s="269"/>
      <c r="J61" s="270"/>
      <c r="K61" s="109"/>
      <c r="L61" s="109"/>
      <c r="M61" s="58"/>
      <c r="N61" s="58"/>
      <c r="O61" s="61"/>
      <c r="P61" s="269"/>
      <c r="R61" s="270"/>
      <c r="S61" s="384"/>
      <c r="T61" s="384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468"/>
      <c r="AI61" s="450"/>
      <c r="AJ61" s="450"/>
      <c r="AK61" s="471"/>
      <c r="AL61" s="452"/>
      <c r="AM61" s="61"/>
      <c r="AN61" s="269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58"/>
      <c r="G62" s="61"/>
      <c r="H62" s="269"/>
      <c r="J62" s="270"/>
      <c r="K62" s="109"/>
      <c r="L62" s="109"/>
      <c r="M62" s="58"/>
      <c r="N62" s="58"/>
      <c r="O62" s="61"/>
      <c r="P62" s="269"/>
      <c r="R62" s="270"/>
      <c r="S62" s="384"/>
      <c r="T62" s="439"/>
      <c r="U62" s="344"/>
      <c r="V62" s="58"/>
      <c r="W62" s="109"/>
      <c r="X62" s="298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58"/>
      <c r="G63" s="109"/>
      <c r="H63" s="269"/>
      <c r="J63" s="270"/>
      <c r="K63" s="109"/>
      <c r="L63" s="109"/>
      <c r="M63" s="58"/>
      <c r="N63" s="58"/>
      <c r="O63" s="61"/>
      <c r="P63" s="269"/>
      <c r="R63" s="270"/>
      <c r="S63" s="384"/>
      <c r="T63" s="483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69"/>
      <c r="AH63" s="270"/>
      <c r="AI63" s="109"/>
      <c r="AJ63" s="373"/>
      <c r="AK63" s="58"/>
      <c r="AL63" s="58"/>
      <c r="AM63" s="109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58"/>
      <c r="G64" s="109"/>
      <c r="H64" s="269"/>
      <c r="J64" s="270"/>
      <c r="K64" s="109"/>
      <c r="L64" s="109"/>
      <c r="M64" s="344"/>
      <c r="N64" s="344"/>
      <c r="O64" s="61"/>
      <c r="P64" s="298"/>
      <c r="R64" s="270"/>
      <c r="S64" s="384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98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58"/>
      <c r="G65" s="109"/>
      <c r="H65" s="269"/>
      <c r="J65" s="270"/>
      <c r="K65" s="109"/>
      <c r="L65" s="109"/>
      <c r="M65" s="58"/>
      <c r="N65" s="58"/>
      <c r="O65" s="61"/>
      <c r="P65" s="269"/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58"/>
      <c r="G66" s="109"/>
      <c r="H66" s="269"/>
      <c r="J66" s="270"/>
      <c r="K66" s="384"/>
      <c r="L66" s="109"/>
      <c r="M66" s="58"/>
      <c r="N66" s="58"/>
      <c r="O66" s="61"/>
      <c r="P66" s="269"/>
      <c r="R66" s="270"/>
      <c r="S66" s="109"/>
      <c r="T66" s="47"/>
      <c r="U66" s="58"/>
      <c r="V66" s="58"/>
      <c r="W66" s="61"/>
      <c r="X66" s="269"/>
      <c r="Z66" s="270"/>
      <c r="AA66" s="109"/>
      <c r="AB66" s="109"/>
      <c r="AC66" s="58"/>
      <c r="AD66" s="58"/>
      <c r="AE66" s="61"/>
      <c r="AF66" s="269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61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61"/>
      <c r="BL66" s="298"/>
    </row>
    <row r="67" ht="22.5" customHeight="1">
      <c r="A67" s="368"/>
      <c r="B67" s="270"/>
      <c r="C67" s="109"/>
      <c r="D67" s="373"/>
      <c r="E67" s="58"/>
      <c r="F67" s="58"/>
      <c r="G67" s="61"/>
      <c r="H67" s="269"/>
      <c r="J67" s="270"/>
      <c r="K67" s="384"/>
      <c r="L67" s="109"/>
      <c r="M67" s="58"/>
      <c r="N67" s="58"/>
      <c r="O67" s="61"/>
      <c r="P67" s="269"/>
      <c r="R67" s="270"/>
      <c r="S67" s="384"/>
      <c r="T67" s="47"/>
      <c r="U67" s="344"/>
      <c r="V67" s="58"/>
      <c r="W67" s="109"/>
      <c r="X67" s="298"/>
      <c r="Z67" s="270"/>
      <c r="AA67" s="109"/>
      <c r="AB67" s="109"/>
      <c r="AC67" s="58"/>
      <c r="AD67" s="58"/>
      <c r="AE67" s="109"/>
      <c r="AF67" s="298"/>
      <c r="AH67" s="270"/>
      <c r="AI67" s="109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109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109"/>
      <c r="BL67" s="298"/>
    </row>
    <row r="68" ht="22.5" customHeight="1">
      <c r="A68" s="368"/>
      <c r="B68" s="270"/>
      <c r="C68" s="109"/>
      <c r="D68" s="373"/>
      <c r="E68" s="58"/>
      <c r="F68" s="58"/>
      <c r="G68" s="61"/>
      <c r="H68" s="269"/>
      <c r="J68" s="270"/>
      <c r="K68" s="109"/>
      <c r="L68" s="109"/>
      <c r="M68" s="58"/>
      <c r="N68" s="58"/>
      <c r="O68" s="61"/>
      <c r="P68" s="269"/>
      <c r="R68" s="270"/>
      <c r="S68" s="384"/>
      <c r="T68" s="109"/>
      <c r="U68" s="58"/>
      <c r="V68" s="58"/>
      <c r="W68" s="61"/>
      <c r="X68" s="269"/>
      <c r="Z68" s="270"/>
      <c r="AA68" s="109"/>
      <c r="AB68" s="109"/>
      <c r="AC68" s="58"/>
      <c r="AD68" s="58"/>
      <c r="AE68" s="61"/>
      <c r="AF68" s="269"/>
      <c r="AH68" s="270"/>
      <c r="AI68" s="61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58"/>
      <c r="G69" s="109"/>
      <c r="H69" s="298"/>
      <c r="J69" s="270"/>
      <c r="K69" s="109"/>
      <c r="L69" s="109"/>
      <c r="M69" s="58"/>
      <c r="N69" s="58"/>
      <c r="O69" s="109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109"/>
      <c r="AF69" s="298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58"/>
      <c r="G70" s="61"/>
      <c r="H70" s="269"/>
      <c r="J70" s="270"/>
      <c r="K70" s="109"/>
      <c r="L70" s="109"/>
      <c r="M70" s="58"/>
      <c r="N70" s="58"/>
      <c r="O70" s="61"/>
      <c r="P70" s="269"/>
      <c r="R70" s="270"/>
      <c r="S70" s="109"/>
      <c r="T70" s="109"/>
      <c r="U70" s="58"/>
      <c r="V70" s="58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58"/>
      <c r="G71" s="61"/>
      <c r="H71" s="269"/>
      <c r="J71" s="270"/>
      <c r="K71" s="109"/>
      <c r="L71" s="109"/>
      <c r="M71" s="58"/>
      <c r="N71" s="58"/>
      <c r="O71" s="61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58"/>
      <c r="G72" s="61"/>
      <c r="H72" s="269"/>
      <c r="J72" s="270"/>
      <c r="K72" s="109"/>
      <c r="L72" s="109"/>
      <c r="M72" s="58"/>
      <c r="N72" s="58"/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58"/>
      <c r="G73" s="109"/>
      <c r="H73" s="298"/>
      <c r="J73" s="270"/>
      <c r="K73" s="109"/>
      <c r="L73" s="109"/>
      <c r="M73" s="58"/>
      <c r="N73" s="58"/>
      <c r="O73" s="109"/>
      <c r="P73" s="269"/>
      <c r="R73" s="270"/>
      <c r="S73" s="384"/>
      <c r="T73" s="109"/>
      <c r="U73" s="344"/>
      <c r="V73" s="344"/>
      <c r="W73" s="61"/>
      <c r="X73" s="298"/>
      <c r="Z73" s="270"/>
      <c r="AA73" s="109"/>
      <c r="AB73" s="109"/>
      <c r="AC73" s="58"/>
      <c r="AD73" s="58"/>
      <c r="AE73" s="61"/>
      <c r="AF73" s="269"/>
      <c r="AG73" s="428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58"/>
      <c r="G74" s="61"/>
      <c r="H74" s="269"/>
      <c r="J74" s="270"/>
      <c r="K74" s="109"/>
      <c r="L74" s="109"/>
      <c r="M74" s="58"/>
      <c r="N74" s="58"/>
      <c r="O74" s="61"/>
      <c r="P74" s="269"/>
      <c r="R74" s="270"/>
      <c r="S74" s="384"/>
      <c r="T74" s="109"/>
      <c r="U74" s="344"/>
      <c r="V74" s="344"/>
      <c r="W74" s="109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58"/>
      <c r="G75" s="61"/>
      <c r="H75" s="269"/>
      <c r="J75" s="270"/>
      <c r="K75" s="109"/>
      <c r="L75" s="109"/>
      <c r="M75" s="58"/>
      <c r="N75" s="58"/>
      <c r="O75" s="109"/>
      <c r="P75" s="298"/>
      <c r="R75" s="270"/>
      <c r="S75" s="384"/>
      <c r="T75" s="109"/>
      <c r="U75" s="344"/>
      <c r="V75" s="344"/>
      <c r="W75" s="61"/>
      <c r="X75" s="298"/>
      <c r="Z75" s="270"/>
      <c r="AA75" s="109"/>
      <c r="AB75" s="109"/>
      <c r="AC75" s="58"/>
      <c r="AD75" s="58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58"/>
      <c r="G76" s="61"/>
      <c r="H76" s="269"/>
      <c r="J76" s="270"/>
      <c r="K76" s="109"/>
      <c r="L76" s="490"/>
      <c r="M76" s="58"/>
      <c r="N76" s="58"/>
      <c r="O76" s="61"/>
      <c r="P76" s="269"/>
      <c r="R76" s="270"/>
      <c r="S76" s="384"/>
      <c r="T76" s="109"/>
      <c r="U76" s="344"/>
      <c r="V76" s="344"/>
      <c r="W76" s="61"/>
      <c r="X76" s="298"/>
      <c r="Z76" s="466"/>
      <c r="AA76" s="453"/>
      <c r="AB76" s="453"/>
      <c r="AC76" s="467"/>
      <c r="AD76" s="455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58"/>
      <c r="G77" s="61"/>
      <c r="H77" s="269"/>
      <c r="J77" s="270"/>
      <c r="K77" s="109"/>
      <c r="L77" s="109"/>
      <c r="M77" s="58"/>
      <c r="N77" s="58"/>
      <c r="O77" s="61"/>
      <c r="P77" s="269"/>
      <c r="R77" s="270"/>
      <c r="S77" s="384"/>
      <c r="T77" s="109"/>
      <c r="U77" s="344"/>
      <c r="V77" s="344"/>
      <c r="W77" s="109"/>
      <c r="X77" s="298"/>
      <c r="Z77" s="468"/>
      <c r="AA77" s="450"/>
      <c r="AB77" s="450"/>
      <c r="AC77" s="471"/>
      <c r="AD77" s="452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58"/>
      <c r="G78" s="61"/>
      <c r="H78" s="269"/>
      <c r="J78" s="270"/>
      <c r="K78" s="109"/>
      <c r="L78" s="109"/>
      <c r="M78" s="58"/>
      <c r="N78" s="58"/>
      <c r="O78" s="61"/>
      <c r="P78" s="269"/>
      <c r="R78" s="270"/>
      <c r="S78" s="384"/>
      <c r="T78" s="109"/>
      <c r="U78" s="344"/>
      <c r="V78" s="344"/>
      <c r="W78" s="61"/>
      <c r="X78" s="298"/>
      <c r="Z78" s="466"/>
      <c r="AA78" s="453"/>
      <c r="AB78" s="453"/>
      <c r="AC78" s="467"/>
      <c r="AD78" s="455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58"/>
      <c r="G79" s="61"/>
      <c r="H79" s="269"/>
      <c r="J79" s="270"/>
      <c r="K79" s="109"/>
      <c r="L79" s="109"/>
      <c r="M79" s="58"/>
      <c r="N79" s="58"/>
      <c r="O79" s="61"/>
      <c r="P79" s="269"/>
      <c r="R79" s="270"/>
      <c r="S79" s="384"/>
      <c r="T79" s="109"/>
      <c r="U79" s="344"/>
      <c r="V79" s="344"/>
      <c r="W79" s="109"/>
      <c r="X79" s="298"/>
      <c r="Z79" s="468"/>
      <c r="AA79" s="450"/>
      <c r="AB79" s="450"/>
      <c r="AC79" s="471"/>
      <c r="AD79" s="452"/>
      <c r="AE79" s="61"/>
      <c r="AF79" s="269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58"/>
      <c r="G80" s="61"/>
      <c r="H80" s="269"/>
      <c r="J80" s="270"/>
      <c r="K80" s="109"/>
      <c r="L80" s="109"/>
      <c r="M80" s="58"/>
      <c r="N80" s="58"/>
      <c r="O80" s="61"/>
      <c r="P80" s="269"/>
      <c r="R80" s="270"/>
      <c r="S80" s="384"/>
      <c r="T80" s="109"/>
      <c r="U80" s="344"/>
      <c r="V80" s="344"/>
      <c r="W80" s="61"/>
      <c r="X80" s="298"/>
      <c r="Z80" s="466"/>
      <c r="AA80" s="453"/>
      <c r="AB80" s="453"/>
      <c r="AC80" s="467"/>
      <c r="AD80" s="455"/>
      <c r="AE80" s="61"/>
      <c r="AF80" s="269"/>
      <c r="AG80" s="428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58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109"/>
      <c r="X81" s="298"/>
      <c r="Z81" s="449"/>
      <c r="AA81" s="453"/>
      <c r="AB81" s="450"/>
      <c r="AC81" s="471"/>
      <c r="AD81" s="452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58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384"/>
      <c r="T82" s="109"/>
      <c r="U82" s="344"/>
      <c r="V82" s="344"/>
      <c r="W82" s="61"/>
      <c r="X82" s="298"/>
      <c r="Z82" s="449"/>
      <c r="AA82" s="450"/>
      <c r="AB82" s="450"/>
      <c r="AC82" s="465"/>
      <c r="AD82" s="451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58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49"/>
      <c r="AA83" s="453"/>
      <c r="AB83" s="453"/>
      <c r="AC83" s="462"/>
      <c r="AD83" s="454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109"/>
      <c r="D84" s="373"/>
      <c r="E84" s="58"/>
      <c r="F84" s="58"/>
      <c r="G84" s="61"/>
      <c r="H84" s="269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491"/>
      <c r="AA84" s="480"/>
      <c r="AB84" s="480"/>
      <c r="AC84" s="492"/>
      <c r="AD84" s="493"/>
      <c r="AE84" s="61"/>
      <c r="AF84" s="269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70"/>
      <c r="G85" s="195"/>
      <c r="H85" s="371"/>
      <c r="J85" s="270"/>
      <c r="K85" s="109"/>
      <c r="L85" s="109"/>
      <c r="M85" s="58"/>
      <c r="N85" s="58"/>
      <c r="O85" s="61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109"/>
      <c r="AF85" s="298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70"/>
      <c r="G86" s="195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/>
      <c r="C87" s="326"/>
      <c r="D87" s="326"/>
      <c r="E87" s="370"/>
      <c r="F87" s="370"/>
      <c r="G87" s="326"/>
      <c r="H87" s="371"/>
      <c r="J87" s="270"/>
      <c r="K87" s="109"/>
      <c r="L87" s="109"/>
      <c r="M87" s="58"/>
      <c r="N87" s="58"/>
      <c r="O87" s="109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109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109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70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109"/>
      <c r="AS88" s="344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109"/>
      <c r="BI88" s="344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70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61"/>
      <c r="X89" s="298"/>
      <c r="Z89" s="270"/>
      <c r="AA89" s="109"/>
      <c r="AB89" s="109"/>
      <c r="AC89" s="58"/>
      <c r="AD89" s="58"/>
      <c r="AE89" s="61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/>
      <c r="C90" s="326"/>
      <c r="D90" s="326"/>
      <c r="E90" s="370"/>
      <c r="F90" s="436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109"/>
      <c r="T90" s="109"/>
      <c r="U90" s="344"/>
      <c r="V90" s="344"/>
      <c r="W90" s="109"/>
      <c r="X90" s="298"/>
      <c r="Z90" s="468"/>
      <c r="AA90" s="480"/>
      <c r="AB90" s="450"/>
      <c r="AC90" s="471"/>
      <c r="AD90" s="452"/>
      <c r="AE90" s="472"/>
      <c r="AF90" s="269"/>
      <c r="AH90" s="270"/>
      <c r="AI90" s="109"/>
      <c r="AJ90" s="373"/>
      <c r="AK90" s="344"/>
      <c r="AL90" s="344"/>
      <c r="AM90" s="61"/>
      <c r="AN90" s="298"/>
      <c r="AP90" s="270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270"/>
      <c r="BG90" s="61"/>
      <c r="BH90" s="61"/>
      <c r="BI90" s="81"/>
      <c r="BJ90" s="344"/>
      <c r="BK90" s="61"/>
      <c r="BL90" s="298"/>
    </row>
    <row r="91" ht="22.5" customHeight="1">
      <c r="A91" s="368"/>
      <c r="B91" s="437"/>
      <c r="C91" s="326"/>
      <c r="D91" s="326"/>
      <c r="E91" s="370"/>
      <c r="F91" s="436"/>
      <c r="G91" s="195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66"/>
      <c r="AA91" s="453"/>
      <c r="AB91" s="453"/>
      <c r="AC91" s="467"/>
      <c r="AD91" s="455"/>
      <c r="AE91" s="470"/>
      <c r="AF91" s="269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344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344"/>
      <c r="BK91" s="61"/>
      <c r="BL91" s="298"/>
    </row>
    <row r="92" ht="22.5" customHeight="1">
      <c r="A92" s="368"/>
      <c r="B92" s="369"/>
      <c r="C92" s="326"/>
      <c r="D92" s="326"/>
      <c r="E92" s="370"/>
      <c r="F92" s="370"/>
      <c r="G92" s="326"/>
      <c r="H92" s="371"/>
      <c r="J92" s="270"/>
      <c r="K92" s="109"/>
      <c r="L92" s="109"/>
      <c r="M92" s="58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0"/>
      <c r="AB92" s="450"/>
      <c r="AC92" s="452"/>
      <c r="AD92" s="452"/>
      <c r="AE92" s="494"/>
      <c r="AF92" s="298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70"/>
      <c r="G93" s="326"/>
      <c r="H93" s="386"/>
      <c r="J93" s="270"/>
      <c r="K93" s="109"/>
      <c r="L93" s="439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66"/>
      <c r="AA93" s="453"/>
      <c r="AB93" s="453"/>
      <c r="AC93" s="467"/>
      <c r="AD93" s="455"/>
      <c r="AE93" s="470"/>
      <c r="AF93" s="269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70"/>
      <c r="G94" s="195"/>
      <c r="H94" s="371"/>
      <c r="J94" s="270"/>
      <c r="K94" s="109"/>
      <c r="L94" s="440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468"/>
      <c r="AA94" s="450"/>
      <c r="AB94" s="480"/>
      <c r="AC94" s="452"/>
      <c r="AD94" s="452"/>
      <c r="AE94" s="494"/>
      <c r="AF94" s="298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70"/>
      <c r="G95" s="326"/>
      <c r="H95" s="371"/>
      <c r="J95" s="270"/>
      <c r="K95" s="109"/>
      <c r="L95" s="109"/>
      <c r="M95" s="271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271"/>
      <c r="AD95" s="58"/>
      <c r="AE95" s="109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70"/>
      <c r="G96" s="326"/>
      <c r="H96" s="371"/>
      <c r="J96" s="270"/>
      <c r="K96" s="109"/>
      <c r="L96" s="109"/>
      <c r="M96" s="58"/>
      <c r="N96" s="58"/>
      <c r="O96" s="61"/>
      <c r="P96" s="269"/>
      <c r="R96" s="270"/>
      <c r="S96" s="384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70"/>
      <c r="G97" s="326"/>
      <c r="H97" s="386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70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70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70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70"/>
      <c r="G101" s="326"/>
      <c r="H101" s="371"/>
      <c r="J101" s="270"/>
      <c r="K101" s="109"/>
      <c r="L101" s="109"/>
      <c r="M101" s="58"/>
      <c r="N101" s="58"/>
      <c r="O101" s="61"/>
      <c r="P101" s="269"/>
      <c r="R101" s="270"/>
      <c r="S101" s="109"/>
      <c r="T101" s="109"/>
      <c r="U101" s="344"/>
      <c r="V101" s="344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70"/>
      <c r="G102" s="195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270"/>
      <c r="AA102" s="109"/>
      <c r="AB102" s="109"/>
      <c r="AC102" s="58"/>
      <c r="AD102" s="58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70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3"/>
      <c r="AB103" s="453"/>
      <c r="AC103" s="452"/>
      <c r="AD103" s="452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70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0"/>
      <c r="AB104" s="450"/>
      <c r="AC104" s="451"/>
      <c r="AD104" s="451"/>
      <c r="AE104" s="61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70"/>
      <c r="G105" s="326"/>
      <c r="H105" s="371"/>
      <c r="J105" s="270"/>
      <c r="K105" s="109"/>
      <c r="L105" s="109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3"/>
      <c r="AB105" s="453"/>
      <c r="AC105" s="454"/>
      <c r="AD105" s="454"/>
      <c r="AE105" s="109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70"/>
      <c r="G106" s="195"/>
      <c r="H106" s="371"/>
      <c r="J106" s="270"/>
      <c r="K106" s="109"/>
      <c r="L106" s="297"/>
      <c r="M106" s="58"/>
      <c r="N106" s="58"/>
      <c r="O106" s="61"/>
      <c r="P106" s="269"/>
      <c r="R106" s="194"/>
      <c r="S106" s="61"/>
      <c r="T106" s="61"/>
      <c r="U106" s="81"/>
      <c r="V106" s="81"/>
      <c r="W106" s="61"/>
      <c r="X106" s="298"/>
      <c r="Z106" s="449"/>
      <c r="AA106" s="450"/>
      <c r="AB106" s="450"/>
      <c r="AC106" s="451"/>
      <c r="AD106" s="454"/>
      <c r="AE106" s="61"/>
      <c r="AF106" s="269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70"/>
      <c r="G107" s="195"/>
      <c r="H107" s="371"/>
      <c r="J107" s="270"/>
      <c r="K107" s="109"/>
      <c r="L107" s="109"/>
      <c r="M107" s="58"/>
      <c r="N107" s="58"/>
      <c r="O107" s="109"/>
      <c r="P107" s="269"/>
      <c r="R107" s="194"/>
      <c r="S107" s="61"/>
      <c r="T107" s="61"/>
      <c r="U107" s="81"/>
      <c r="V107" s="81"/>
      <c r="W107" s="61"/>
      <c r="X107" s="298"/>
      <c r="Z107" s="449"/>
      <c r="AA107" s="453"/>
      <c r="AB107" s="453"/>
      <c r="AC107" s="455"/>
      <c r="AD107" s="495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70"/>
      <c r="G108" s="195"/>
      <c r="H108" s="371"/>
      <c r="J108" s="270"/>
      <c r="K108" s="109"/>
      <c r="L108" s="109"/>
      <c r="M108" s="58"/>
      <c r="N108" s="58"/>
      <c r="O108" s="61"/>
      <c r="P108" s="269"/>
      <c r="R108" s="194"/>
      <c r="S108" s="61"/>
      <c r="T108" s="61"/>
      <c r="U108" s="81"/>
      <c r="V108" s="81"/>
      <c r="W108" s="61"/>
      <c r="X108" s="298"/>
      <c r="Z108" s="270"/>
      <c r="AA108" s="109"/>
      <c r="AB108" s="109"/>
      <c r="AC108" s="58"/>
      <c r="AD108" s="58"/>
      <c r="AE108" s="109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70"/>
      <c r="G109" s="195"/>
      <c r="H109" s="371"/>
      <c r="J109" s="369"/>
      <c r="K109" s="443"/>
      <c r="L109" s="326"/>
      <c r="M109" s="370"/>
      <c r="N109" s="370"/>
      <c r="O109" s="195"/>
      <c r="P109" s="371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70"/>
      <c r="G110" s="195"/>
      <c r="H110" s="371"/>
      <c r="J110" s="369"/>
      <c r="K110" s="326"/>
      <c r="L110" s="326"/>
      <c r="M110" s="370"/>
      <c r="N110" s="370"/>
      <c r="O110" s="326"/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70"/>
      <c r="G111" s="326"/>
      <c r="H111" s="371"/>
      <c r="J111" s="369"/>
      <c r="K111" s="109"/>
      <c r="L111" s="109"/>
      <c r="M111" s="58"/>
      <c r="N111" s="58"/>
      <c r="O111" s="61"/>
      <c r="P111" s="269"/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70"/>
      <c r="G112" s="326"/>
      <c r="H112" s="371"/>
      <c r="J112" s="270"/>
      <c r="K112" s="109"/>
      <c r="L112" s="109"/>
      <c r="M112" s="344"/>
      <c r="N112" s="344"/>
      <c r="O112" s="61"/>
      <c r="P112" s="298"/>
      <c r="R112" s="270"/>
      <c r="S112" s="109"/>
      <c r="T112" s="109"/>
      <c r="U112" s="58"/>
      <c r="V112" s="58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70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70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70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70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70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70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/>
      <c r="C119" s="326"/>
      <c r="D119" s="326"/>
      <c r="E119" s="370"/>
      <c r="F119" s="370"/>
      <c r="G119" s="195"/>
      <c r="H119" s="37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61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61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109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270"/>
      <c r="AI127" s="109"/>
      <c r="AJ127" s="373"/>
      <c r="AK127" s="344"/>
      <c r="AL127" s="344"/>
      <c r="AM127" s="61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372"/>
      <c r="AI128" s="373"/>
      <c r="AJ128" s="373"/>
      <c r="AK128" s="445"/>
      <c r="AL128" s="445"/>
      <c r="AM128" s="375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61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109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373"/>
      <c r="BA132" s="344"/>
      <c r="BB132" s="344"/>
      <c r="BC132" s="61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446"/>
      <c r="BA133" s="344"/>
      <c r="BB133" s="344"/>
      <c r="BC133" s="109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61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109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61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109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109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61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270"/>
      <c r="AY177" s="109"/>
      <c r="AZ177" s="373"/>
      <c r="BA177" s="344"/>
      <c r="BB177" s="344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86"/>
      <c r="J183" s="194"/>
      <c r="K183" s="61"/>
      <c r="L183" s="61"/>
      <c r="M183" s="81"/>
      <c r="N183" s="81"/>
      <c r="O183" s="61"/>
      <c r="P183" s="298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98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98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98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/>
      <c r="J242" s="194"/>
      <c r="K242" s="61"/>
      <c r="L242" s="61"/>
      <c r="M242" s="81"/>
      <c r="N242" s="81"/>
      <c r="O242" s="61"/>
      <c r="P242" s="269"/>
      <c r="R242" s="194"/>
      <c r="S242" s="61"/>
      <c r="T242" s="61"/>
      <c r="U242" s="81"/>
      <c r="V242" s="81"/>
      <c r="W242" s="61"/>
      <c r="X242" s="269"/>
      <c r="Z242" s="194"/>
      <c r="AA242" s="61"/>
      <c r="AB242" s="61"/>
      <c r="AC242" s="81"/>
      <c r="AD242" s="81"/>
      <c r="AE242" s="61"/>
      <c r="AF242" s="269"/>
      <c r="AH242" s="194"/>
      <c r="AI242" s="61"/>
      <c r="AJ242" s="373"/>
      <c r="AK242" s="81"/>
      <c r="AL242" s="81"/>
      <c r="AM242" s="61"/>
      <c r="AN242" s="298"/>
      <c r="AP242" s="194"/>
      <c r="AQ242" s="61"/>
      <c r="AR242" s="61"/>
      <c r="AS242" s="81"/>
      <c r="AT242" s="81"/>
      <c r="AU242" s="61"/>
      <c r="AV242" s="298"/>
      <c r="AX242" s="194"/>
      <c r="AY242" s="61"/>
      <c r="AZ242" s="373"/>
      <c r="BA242" s="81"/>
      <c r="BB242" s="81"/>
      <c r="BC242" s="61"/>
      <c r="BD242" s="269"/>
      <c r="BF242" s="194"/>
      <c r="BG242" s="61"/>
      <c r="BH242" s="61"/>
      <c r="BI242" s="81"/>
      <c r="BJ242" s="81"/>
      <c r="BK242" s="61"/>
      <c r="BL242" s="269"/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46"/>
      <c r="AQ998" s="300"/>
      <c r="AR998" s="300"/>
      <c r="AS998" s="345"/>
      <c r="AT998" s="345"/>
      <c r="AU998" s="300"/>
      <c r="AV998" s="313"/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315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  <c r="BF1002" s="352"/>
      <c r="BG1002" s="352"/>
      <c r="BH1002" s="352"/>
      <c r="BI1002" s="352"/>
      <c r="BJ1002" s="352"/>
      <c r="BK1002" s="352"/>
      <c r="BL1002" s="352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1010 BH2 AY11 AR12">
    <cfRule type="expression" dxfId="12" priority="18">
      <formula>COUNTIF(AA:AA, AA1)&gt;1</formula>
    </cfRule>
  </conditionalFormatting>
  <conditionalFormatting sqref="AB1:AB1010 AR1:AR1010 BH1:BH1010 AZ11 AS12 AA33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8 AT2:AT998">
      <formula1>"Luis,Jesus,Clara,Noel,Daniela,Mariadelaida,Eduardo,Edvaldo,Alexis,Francisco,Enrique,Rafael,Aegis"</formula1>
    </dataValidation>
    <dataValidation allowBlank="1" showDropDown="1" sqref="AY2:AZ982 BC2:BC982 BG2:BH998 BK2:BK998 AQ2:AR998 AU2:AU998 S2:T999 W2:W999 AA2:AB1000 AE2:AE1000 AI2:AJ1000 AM2:AM1000 C2:D1003 G2:G1003 K2:L1010 O2:O1010"/>
    <dataValidation type="list" allowBlank="1" sqref="BI2:BI998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8 AP2:AP998 R2:R999 Z2:Z1000 AH2:AH1000 B2:B1003 J2:J1010">
      <formula1>OR(NOT(ISERROR(DATEVALUE(B2))), AND(ISNUMBER(B2), LEFT(CELL("format", B2))="D"))</formula1>
    </dataValidation>
    <dataValidation type="list" allowBlank="1" sqref="BB2:BB982">
      <formula1>"Luis,Jesus,Clara,Noel,Daniela,Mariadelaida,Eduardo,Alexis,Diana,Francisco,Enrique,Rafael,Aegis"</formula1>
    </dataValidation>
  </dataValidations>
  <drawing r:id="rId2"/>
  <legacyDrawing r:id="rId3"/>
  <tableParts count="8">
    <tablePart r:id="rId12"/>
    <tablePart r:id="rId13"/>
    <tablePart r:id="rId14"/>
    <tablePart r:id="rId15"/>
    <tablePart r:id="rId16"/>
    <tablePart r:id="rId17"/>
    <tablePart r:id="rId18"/>
    <tablePart r:id="rId19"/>
  </tableParts>
</worksheet>
</file>